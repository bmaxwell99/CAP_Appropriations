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7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rk_\Documents\NDRN\CAP_Appropriations\ethnicity.race\"/>
    </mc:Choice>
  </mc:AlternateContent>
  <xr:revisionPtr revIDLastSave="0" documentId="13_ncr:40009_{AE6A3D37-1652-450E-8185-8E95D99AE6EB}" xr6:coauthVersionLast="43" xr6:coauthVersionMax="43" xr10:uidLastSave="{00000000-0000-0000-0000-000000000000}"/>
  <bookViews>
    <workbookView xWindow="15912" yWindow="2412" windowWidth="14088" windowHeight="7512"/>
  </bookViews>
  <sheets>
    <sheet name="aggregated averages" sheetId="1" r:id="rId1"/>
    <sheet name="analytics" sheetId="4" r:id="rId2"/>
    <sheet name="raw averages" sheetId="3" r:id="rId3"/>
  </sheets>
  <definedNames>
    <definedName name="_xlnm._FilterDatabase" localSheetId="0" hidden="1">'aggregated averages'!$B$2:$N$2</definedName>
  </definedNames>
  <calcPr calcId="0"/>
</workbook>
</file>

<file path=xl/calcChain.xml><?xml version="1.0" encoding="utf-8"?>
<calcChain xmlns="http://schemas.openxmlformats.org/spreadsheetml/2006/main"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3" i="1"/>
</calcChain>
</file>

<file path=xl/sharedStrings.xml><?xml version="1.0" encoding="utf-8"?>
<sst xmlns="http://schemas.openxmlformats.org/spreadsheetml/2006/main" count="215" uniqueCount="85">
  <si>
    <t>State</t>
  </si>
  <si>
    <t>Hawaii</t>
  </si>
  <si>
    <t>California</t>
  </si>
  <si>
    <t>New Jersey</t>
  </si>
  <si>
    <t>New York</t>
  </si>
  <si>
    <t>Washington</t>
  </si>
  <si>
    <t>Nevada</t>
  </si>
  <si>
    <t>Virginia</t>
  </si>
  <si>
    <t>Maryland</t>
  </si>
  <si>
    <t>Alaska</t>
  </si>
  <si>
    <t>Massachusetts</t>
  </si>
  <si>
    <t>District of Columbia</t>
  </si>
  <si>
    <t>Connecticut</t>
  </si>
  <si>
    <t>Texas</t>
  </si>
  <si>
    <t>Georgia</t>
  </si>
  <si>
    <t>Delaware</t>
  </si>
  <si>
    <t>Illinois</t>
  </si>
  <si>
    <t>Pennsylvania</t>
  </si>
  <si>
    <t>Oregon</t>
  </si>
  <si>
    <t>Colorado</t>
  </si>
  <si>
    <t>Minnesota</t>
  </si>
  <si>
    <t>Rhode Island</t>
  </si>
  <si>
    <t>North Carolina</t>
  </si>
  <si>
    <t>Indiana</t>
  </si>
  <si>
    <t>Nebraska</t>
  </si>
  <si>
    <t>Kansas</t>
  </si>
  <si>
    <t>Arizona</t>
  </si>
  <si>
    <t>Florida</t>
  </si>
  <si>
    <t>Oklahoma</t>
  </si>
  <si>
    <t>Iowa</t>
  </si>
  <si>
    <t>Ohio</t>
  </si>
  <si>
    <t>Utah</t>
  </si>
  <si>
    <t>Missouri</t>
  </si>
  <si>
    <t>Michigan</t>
  </si>
  <si>
    <t>Wisconsin</t>
  </si>
  <si>
    <t>Louisiana</t>
  </si>
  <si>
    <t>Kentucky</t>
  </si>
  <si>
    <t>Vermont</t>
  </si>
  <si>
    <t>South Carolina</t>
  </si>
  <si>
    <t>New Hampshire</t>
  </si>
  <si>
    <t>Arkansas</t>
  </si>
  <si>
    <t>Alabama</t>
  </si>
  <si>
    <t>Tennessee</t>
  </si>
  <si>
    <t>Idaho</t>
  </si>
  <si>
    <t>West Virginia</t>
  </si>
  <si>
    <t>North Dakota</t>
  </si>
  <si>
    <t>South Dakota</t>
  </si>
  <si>
    <t>Montana</t>
  </si>
  <si>
    <t>Maine</t>
  </si>
  <si>
    <t>New Mexico</t>
  </si>
  <si>
    <t>Wyoming</t>
  </si>
  <si>
    <t>Mississippi</t>
  </si>
  <si>
    <t>African American</t>
  </si>
  <si>
    <t>Native American</t>
  </si>
  <si>
    <t>Rank</t>
  </si>
  <si>
    <t>Asian</t>
  </si>
  <si>
    <t>Pacific Islander</t>
  </si>
  <si>
    <t>Control Ratio</t>
  </si>
  <si>
    <t>CAP Ratio</t>
  </si>
  <si>
    <t>Control Dif</t>
  </si>
  <si>
    <t>CAP Dif</t>
  </si>
  <si>
    <t>-</t>
  </si>
  <si>
    <t>Control (Aggr)</t>
  </si>
  <si>
    <t>CAP   (Avg)</t>
  </si>
  <si>
    <t>POP   (Avg)</t>
  </si>
  <si>
    <t>pacific_islander_pop</t>
  </si>
  <si>
    <t>pacific_islander_CAP</t>
  </si>
  <si>
    <t>pacific_islander_PAIMI</t>
  </si>
  <si>
    <t>pacific_islander_PAIR</t>
  </si>
  <si>
    <t>pacific_islander_PAAD</t>
  </si>
  <si>
    <t>asian_pop</t>
  </si>
  <si>
    <t>asian_CAP</t>
  </si>
  <si>
    <t>asian_PAIMI</t>
  </si>
  <si>
    <t>asian_PAIR</t>
  </si>
  <si>
    <t>asian_PAAD</t>
  </si>
  <si>
    <t>native_american_pop</t>
  </si>
  <si>
    <t>native_american_CAP</t>
  </si>
  <si>
    <t>native_american_PAIMI</t>
  </si>
  <si>
    <t>native_american_PAIR</t>
  </si>
  <si>
    <t>native_american_PAAD</t>
  </si>
  <si>
    <t>black_pop</t>
  </si>
  <si>
    <t>black_CAP</t>
  </si>
  <si>
    <t>black_PAIMI</t>
  </si>
  <si>
    <t>black_PAIR</t>
  </si>
  <si>
    <t>black_PAAD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</si>
</sst>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/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0" borderId="13" xfId="0" applyBorder="1"/>
    <xf numFmtId="9" fontId="0" fillId="33" borderId="11" xfId="0" applyNumberFormat="1" applyFill="1" applyBorder="1"/>
    <xf numFmtId="9" fontId="0" fillId="34" borderId="11" xfId="0" applyNumberFormat="1" applyFill="1" applyBorder="1"/>
    <xf numFmtId="9" fontId="0" fillId="0" borderId="11" xfId="0" applyNumberFormat="1" applyBorder="1"/>
    <xf numFmtId="0" fontId="0" fillId="0" borderId="11" xfId="0" applyBorder="1"/>
    <xf numFmtId="0" fontId="0" fillId="33" borderId="10" xfId="0" applyFill="1" applyBorder="1" applyAlignment="1">
      <alignment horizontal="center" vertical="top" wrapText="1"/>
    </xf>
    <xf numFmtId="0" fontId="0" fillId="34" borderId="10" xfId="0" applyFill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18" xfId="0" applyBorder="1" applyAlignment="1">
      <alignment horizontal="center" vertical="top"/>
    </xf>
    <xf numFmtId="0" fontId="0" fillId="0" borderId="19" xfId="0" applyBorder="1" applyAlignment="1">
      <alignment horizontal="center" vertical="top" wrapText="1"/>
    </xf>
    <xf numFmtId="9" fontId="0" fillId="0" borderId="20" xfId="0" applyNumberFormat="1" applyBorder="1"/>
    <xf numFmtId="0" fontId="0" fillId="0" borderId="18" xfId="0" applyBorder="1" applyAlignment="1">
      <alignment horizontal="center" vertical="top" wrapText="1"/>
    </xf>
    <xf numFmtId="9" fontId="0" fillId="0" borderId="21" xfId="0" applyNumberFormat="1" applyBorder="1"/>
    <xf numFmtId="0" fontId="0" fillId="0" borderId="22" xfId="0" applyBorder="1" applyAlignment="1">
      <alignment horizontal="center" vertical="top"/>
    </xf>
    <xf numFmtId="0" fontId="0" fillId="0" borderId="23" xfId="0" applyBorder="1" applyAlignment="1">
      <alignment horizontal="center" vertical="top"/>
    </xf>
    <xf numFmtId="0" fontId="0" fillId="0" borderId="24" xfId="0" applyBorder="1" applyAlignment="1">
      <alignment horizontal="center" vertical="top" wrapText="1"/>
    </xf>
    <xf numFmtId="9" fontId="0" fillId="0" borderId="25" xfId="0" applyNumberFormat="1" applyBorder="1"/>
    <xf numFmtId="0" fontId="16" fillId="0" borderId="11" xfId="0" applyFont="1" applyFill="1" applyBorder="1" applyAlignment="1">
      <alignment horizontal="center"/>
    </xf>
    <xf numFmtId="10" fontId="0" fillId="33" borderId="11" xfId="0" applyNumberFormat="1" applyFill="1" applyBorder="1"/>
    <xf numFmtId="10" fontId="0" fillId="34" borderId="11" xfId="0" applyNumberFormat="1" applyFill="1" applyBorder="1"/>
    <xf numFmtId="10" fontId="0" fillId="0" borderId="11" xfId="0" applyNumberFormat="1" applyBorder="1"/>
    <xf numFmtId="0" fontId="0" fillId="0" borderId="14" xfId="0" applyBorder="1"/>
    <xf numFmtId="0" fontId="16" fillId="0" borderId="13" xfId="0" applyFont="1" applyFill="1" applyBorder="1" applyAlignment="1">
      <alignment horizontal="center"/>
    </xf>
    <xf numFmtId="0" fontId="0" fillId="33" borderId="18" xfId="0" applyFill="1" applyBorder="1" applyAlignment="1">
      <alignment horizontal="center" vertical="top" wrapText="1"/>
    </xf>
    <xf numFmtId="0" fontId="0" fillId="0" borderId="11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1" xfId="0" applyBorder="1" applyAlignment="1">
      <alignment horizontal="center" vertical="top"/>
    </xf>
    <xf numFmtId="0" fontId="0" fillId="0" borderId="21" xfId="0" applyBorder="1" applyAlignment="1">
      <alignment horizontal="center" vertical="top" wrapText="1"/>
    </xf>
    <xf numFmtId="11" fontId="0" fillId="0" borderId="0" xfId="0" applyNumberFormat="1"/>
    <xf numFmtId="10" fontId="0" fillId="0" borderId="11" xfId="1" applyNumberFormat="1" applyFont="1" applyBorder="1"/>
    <xf numFmtId="0" fontId="0" fillId="0" borderId="15" xfId="0" applyBorder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3"/>
  <sheetViews>
    <sheetView tabSelected="1" workbookViewId="0">
      <pane ySplit="1" topLeftCell="A2" activePane="bottomLeft" state="frozen"/>
      <selection pane="bottomLeft" activeCell="G11" sqref="G11"/>
    </sheetView>
  </sheetViews>
  <sheetFormatPr defaultRowHeight="14.4" x14ac:dyDescent="0.3"/>
  <cols>
    <col min="1" max="1" width="5" bestFit="1" customWidth="1"/>
    <col min="2" max="2" width="13.44140625" customWidth="1"/>
  </cols>
  <sheetData>
    <row r="1" spans="1:14" x14ac:dyDescent="0.3">
      <c r="A1" s="30" t="s">
        <v>54</v>
      </c>
      <c r="B1" s="31" t="s">
        <v>0</v>
      </c>
      <c r="C1" s="28" t="s">
        <v>52</v>
      </c>
      <c r="D1" s="23"/>
      <c r="E1" s="23"/>
      <c r="F1" s="23" t="s">
        <v>53</v>
      </c>
      <c r="G1" s="23"/>
      <c r="H1" s="23"/>
      <c r="I1" s="23" t="s">
        <v>55</v>
      </c>
      <c r="J1" s="23"/>
      <c r="K1" s="23"/>
      <c r="L1" s="23" t="s">
        <v>56</v>
      </c>
      <c r="M1" s="23"/>
      <c r="N1" s="23"/>
    </row>
    <row r="2" spans="1:14" s="2" customFormat="1" ht="28.8" x14ac:dyDescent="0.3">
      <c r="A2" s="32"/>
      <c r="B2" s="33"/>
      <c r="C2" s="29" t="s">
        <v>62</v>
      </c>
      <c r="D2" s="9" t="s">
        <v>63</v>
      </c>
      <c r="E2" s="11" t="s">
        <v>64</v>
      </c>
      <c r="F2" s="8" t="s">
        <v>62</v>
      </c>
      <c r="G2" s="9" t="s">
        <v>63</v>
      </c>
      <c r="H2" s="11" t="s">
        <v>64</v>
      </c>
      <c r="I2" s="8" t="s">
        <v>62</v>
      </c>
      <c r="J2" s="9" t="s">
        <v>63</v>
      </c>
      <c r="K2" s="11" t="s">
        <v>64</v>
      </c>
      <c r="L2" s="8" t="s">
        <v>62</v>
      </c>
      <c r="M2" s="9" t="s">
        <v>63</v>
      </c>
      <c r="N2" s="11" t="s">
        <v>64</v>
      </c>
    </row>
    <row r="3" spans="1:14" x14ac:dyDescent="0.3">
      <c r="A3" s="7">
        <v>1</v>
      </c>
      <c r="B3" s="7" t="s">
        <v>41</v>
      </c>
      <c r="C3" s="4">
        <f>AVERAGE('raw averages'!C2:E2)</f>
        <v>0.41147000000000028</v>
      </c>
      <c r="D3" s="5">
        <f>'raw averages'!F2</f>
        <v>0.32679999999999998</v>
      </c>
      <c r="E3" s="6">
        <f>'raw averages'!G2</f>
        <v>0.26469999999999999</v>
      </c>
      <c r="F3" s="24">
        <f>SUM('raw averages'!H2:J2)</f>
        <v>4.8300000000000001E-3</v>
      </c>
      <c r="G3" s="25">
        <f>'raw averages'!K2</f>
        <v>0</v>
      </c>
      <c r="H3" s="26">
        <f>'raw averages'!L2</f>
        <v>5.5999999999999999E-3</v>
      </c>
      <c r="I3" s="24">
        <f>AVERAGE('raw averages'!M2:O2)</f>
        <v>4.074444444444443E-3</v>
      </c>
      <c r="J3" s="25">
        <f>'raw averages'!P2</f>
        <v>1.1900000000000001E-2</v>
      </c>
      <c r="K3" s="26">
        <f>'raw averages'!Q2</f>
        <v>1.39666666666667E-2</v>
      </c>
      <c r="L3" s="24">
        <f>AVERAGE('raw averages'!R2:T2)</f>
        <v>0</v>
      </c>
      <c r="M3" s="25">
        <f>'raw averages'!U2</f>
        <v>0.18440000000000001</v>
      </c>
      <c r="N3" s="39">
        <f>'raw averages'!V2</f>
        <v>5.0000000000000001E-4</v>
      </c>
    </row>
    <row r="4" spans="1:14" x14ac:dyDescent="0.3">
      <c r="A4" s="7">
        <v>2</v>
      </c>
      <c r="B4" s="7" t="s">
        <v>9</v>
      </c>
      <c r="C4" s="4">
        <f>AVERAGE('raw averages'!C3:E3)</f>
        <v>5.0503333333333338E-2</v>
      </c>
      <c r="D4" s="5">
        <f>'raw averages'!F3</f>
        <v>0.11296666666666701</v>
      </c>
      <c r="E4" s="6">
        <f>'raw averages'!G3</f>
        <v>3.3233333333333302E-2</v>
      </c>
      <c r="F4" s="24">
        <f>SUM('raw averages'!H3:J3)</f>
        <v>0.49958666666666601</v>
      </c>
      <c r="G4" s="25">
        <f>'raw averages'!K3</f>
        <v>0.14074</v>
      </c>
      <c r="H4" s="26">
        <f>'raw averages'!L3</f>
        <v>0.144866666666667</v>
      </c>
      <c r="I4" s="24">
        <f>AVERAGE('raw averages'!M3:O3)</f>
        <v>1.7132222222222198E-2</v>
      </c>
      <c r="J4" s="25">
        <f>'raw averages'!P3</f>
        <v>0</v>
      </c>
      <c r="K4" s="26">
        <f>'raw averages'!Q3</f>
        <v>6.1533333333333301E-2</v>
      </c>
      <c r="L4" s="24">
        <f>AVERAGE('raw averages'!R3:T3)</f>
        <v>0.10984111111111124</v>
      </c>
      <c r="M4" s="25">
        <f>'raw averages'!U3</f>
        <v>0</v>
      </c>
      <c r="N4" s="39">
        <f>'raw averages'!V3</f>
        <v>1.25666666666667E-2</v>
      </c>
    </row>
    <row r="5" spans="1:14" x14ac:dyDescent="0.3">
      <c r="A5" s="7">
        <v>3</v>
      </c>
      <c r="B5" s="7" t="s">
        <v>26</v>
      </c>
      <c r="C5" s="4">
        <f>AVERAGE('raw averages'!C4:E4)</f>
        <v>8.6643333333333336E-2</v>
      </c>
      <c r="D5" s="5">
        <f>'raw averages'!F4</f>
        <v>0.13439999999999999</v>
      </c>
      <c r="E5" s="6">
        <f>'raw averages'!G4</f>
        <v>4.2233333333333303E-2</v>
      </c>
      <c r="F5" s="24">
        <f>SUM('raw averages'!H4:J4)</f>
        <v>6.447E-2</v>
      </c>
      <c r="G5" s="25">
        <f>'raw averages'!K4</f>
        <v>2.358E-2</v>
      </c>
      <c r="H5" s="26">
        <f>'raw averages'!L4</f>
        <v>4.0033333333333303E-2</v>
      </c>
      <c r="I5" s="24">
        <f>AVERAGE('raw averages'!M4:O4)</f>
        <v>1.2991111111111101E-2</v>
      </c>
      <c r="J5" s="25">
        <f>'raw averages'!P4</f>
        <v>1.55E-2</v>
      </c>
      <c r="K5" s="26">
        <f>'raw averages'!Q4</f>
        <v>3.2833333333333298E-2</v>
      </c>
      <c r="L5" s="24">
        <f>AVERAGE('raw averages'!R4:T4)</f>
        <v>6.4200000000000021E-3</v>
      </c>
      <c r="M5" s="25">
        <f>'raw averages'!U4</f>
        <v>0</v>
      </c>
      <c r="N5" s="39">
        <f>'raw averages'!V4</f>
        <v>1.83333333333333E-3</v>
      </c>
    </row>
    <row r="6" spans="1:14" x14ac:dyDescent="0.3">
      <c r="A6" s="7">
        <v>4</v>
      </c>
      <c r="B6" s="7" t="s">
        <v>40</v>
      </c>
      <c r="C6" s="4">
        <f>AVERAGE('raw averages'!C5:E5)</f>
        <v>0.29637222222222231</v>
      </c>
      <c r="D6" s="5">
        <f>'raw averages'!F5</f>
        <v>0.469766666666667</v>
      </c>
      <c r="E6" s="6">
        <f>'raw averages'!G5</f>
        <v>0.15436666666666701</v>
      </c>
      <c r="F6" s="24">
        <f>SUM('raw averages'!H5:J5)</f>
        <v>9.5499999999999995E-3</v>
      </c>
      <c r="G6" s="25">
        <f>'raw averages'!K5</f>
        <v>0</v>
      </c>
      <c r="H6" s="26">
        <f>'raw averages'!L5</f>
        <v>7.4000000000000003E-3</v>
      </c>
      <c r="I6" s="24">
        <f>AVERAGE('raw averages'!M5:O5)</f>
        <v>4.7600000000000038E-3</v>
      </c>
      <c r="J6" s="25">
        <f>'raw averages'!P5</f>
        <v>0</v>
      </c>
      <c r="K6" s="26">
        <f>'raw averages'!Q5</f>
        <v>1.55E-2</v>
      </c>
      <c r="L6" s="24">
        <f>AVERAGE('raw averages'!R5:T5)</f>
        <v>3.3288888888888903E-3</v>
      </c>
      <c r="M6" s="25">
        <f>'raw averages'!U5</f>
        <v>0</v>
      </c>
      <c r="N6" s="39">
        <f>'raw averages'!V5</f>
        <v>2.8666666666666701E-3</v>
      </c>
    </row>
    <row r="7" spans="1:14" x14ac:dyDescent="0.3">
      <c r="A7" s="7">
        <v>5</v>
      </c>
      <c r="B7" s="7" t="s">
        <v>2</v>
      </c>
      <c r="C7" s="4">
        <f>AVERAGE('raw averages'!C6:E6)</f>
        <v>0.13718222222222223</v>
      </c>
      <c r="D7" s="5">
        <f>'raw averages'!F6</f>
        <v>0.22786666666666699</v>
      </c>
      <c r="E7" s="6">
        <f>'raw averages'!G6</f>
        <v>5.6533333333333297E-2</v>
      </c>
      <c r="F7" s="24">
        <f>SUM('raw averages'!H6:J6)</f>
        <v>3.1416666666666669E-2</v>
      </c>
      <c r="G7" s="25">
        <f>'raw averages'!K6</f>
        <v>1.38866666666667E-2</v>
      </c>
      <c r="H7" s="26">
        <f>'raw averages'!L6</f>
        <v>4.1999999999999997E-3</v>
      </c>
      <c r="I7" s="24">
        <f>AVERAGE('raw averages'!M6:O6)</f>
        <v>3.9288888888888901E-2</v>
      </c>
      <c r="J7" s="25">
        <f>'raw averages'!P6</f>
        <v>4.8533333333333303E-2</v>
      </c>
      <c r="K7" s="26">
        <f>'raw averages'!Q6</f>
        <v>0.14256666666666701</v>
      </c>
      <c r="L7" s="24">
        <f>AVERAGE('raw averages'!R6:T6)</f>
        <v>8.8544444444444564E-3</v>
      </c>
      <c r="M7" s="25">
        <f>'raw averages'!U6</f>
        <v>1.0833333333333301E-2</v>
      </c>
      <c r="N7" s="39">
        <f>'raw averages'!V6</f>
        <v>3.7000000000000002E-3</v>
      </c>
    </row>
    <row r="8" spans="1:14" x14ac:dyDescent="0.3">
      <c r="A8" s="7">
        <v>6</v>
      </c>
      <c r="B8" s="7" t="s">
        <v>19</v>
      </c>
      <c r="C8" s="4">
        <f>AVERAGE('raw averages'!C7:E7)</f>
        <v>0.14885111111111124</v>
      </c>
      <c r="D8" s="5">
        <f>'raw averages'!F7</f>
        <v>0.12820000000000001</v>
      </c>
      <c r="E8" s="6">
        <f>'raw averages'!G7</f>
        <v>3.9899999999999998E-2</v>
      </c>
      <c r="F8" s="24">
        <f>SUM('raw averages'!H7:J7)</f>
        <v>2.096666666666663E-2</v>
      </c>
      <c r="G8" s="25">
        <f>'raw averages'!K7</f>
        <v>0</v>
      </c>
      <c r="H8" s="26">
        <f>'raw averages'!L7</f>
        <v>6.3333333333333297E-3</v>
      </c>
      <c r="I8" s="24">
        <f>AVERAGE('raw averages'!M7:O7)</f>
        <v>4.7788888888888898E-3</v>
      </c>
      <c r="J8" s="25">
        <f>'raw averages'!P7</f>
        <v>0</v>
      </c>
      <c r="K8" s="26">
        <f>'raw averages'!Q7</f>
        <v>3.1600000000000003E-2</v>
      </c>
      <c r="L8" s="24">
        <f>AVERAGE('raw averages'!R7:T7)</f>
        <v>2.6166666666666664E-3</v>
      </c>
      <c r="M8" s="25">
        <f>'raw averages'!U7</f>
        <v>0</v>
      </c>
      <c r="N8" s="39">
        <f>'raw averages'!V7</f>
        <v>1.2999999999999999E-3</v>
      </c>
    </row>
    <row r="9" spans="1:14" x14ac:dyDescent="0.3">
      <c r="A9" s="7">
        <v>7</v>
      </c>
      <c r="B9" s="7" t="s">
        <v>12</v>
      </c>
      <c r="C9" s="4">
        <f>AVERAGE('raw averages'!C8:E8)</f>
        <v>0.12514000000000011</v>
      </c>
      <c r="D9" s="5">
        <f>'raw averages'!F8</f>
        <v>0.1353</v>
      </c>
      <c r="E9" s="6">
        <f>'raw averages'!G8</f>
        <v>0.1003</v>
      </c>
      <c r="F9" s="24">
        <f>SUM('raw averages'!H8:J8)</f>
        <v>0</v>
      </c>
      <c r="G9" s="25">
        <f>'raw averages'!K8</f>
        <v>0</v>
      </c>
      <c r="H9" s="26">
        <f>'raw averages'!L8</f>
        <v>2.2000000000000001E-3</v>
      </c>
      <c r="I9" s="24">
        <f>AVERAGE('raw averages'!M8:O8)</f>
        <v>7.3066666666666566E-3</v>
      </c>
      <c r="J9" s="25">
        <f>'raw averages'!P8</f>
        <v>4.7466666666666699E-2</v>
      </c>
      <c r="K9" s="26">
        <f>'raw averages'!Q8</f>
        <v>4.5666666666666703E-2</v>
      </c>
      <c r="L9" s="24">
        <f>AVERAGE('raw averages'!R8:T8)</f>
        <v>0</v>
      </c>
      <c r="M9" s="25">
        <f>'raw averages'!U8</f>
        <v>0</v>
      </c>
      <c r="N9" s="39">
        <f>'raw averages'!V8</f>
        <v>4.0000000000000002E-4</v>
      </c>
    </row>
    <row r="10" spans="1:14" x14ac:dyDescent="0.3">
      <c r="A10" s="7">
        <v>8</v>
      </c>
      <c r="B10" s="7" t="s">
        <v>15</v>
      </c>
      <c r="C10" s="4">
        <f>AVERAGE('raw averages'!C9:E9)</f>
        <v>0.3470844444444447</v>
      </c>
      <c r="D10" s="5">
        <f>'raw averages'!F9</f>
        <v>0.40849999999999997</v>
      </c>
      <c r="E10" s="6">
        <f>'raw averages'!G9</f>
        <v>0.21606666666666699</v>
      </c>
      <c r="F10" s="24">
        <f>SUM('raw averages'!H9:J9)</f>
        <v>5.0699999999999999E-3</v>
      </c>
      <c r="G10" s="25">
        <f>'raw averages'!K9</f>
        <v>0</v>
      </c>
      <c r="H10" s="26">
        <f>'raw averages'!L9</f>
        <v>3.0999999999999999E-3</v>
      </c>
      <c r="I10" s="24">
        <f>AVERAGE('raw averages'!M9:O9)</f>
        <v>8.2933333333333331E-3</v>
      </c>
      <c r="J10" s="25">
        <f>'raw averages'!P9</f>
        <v>0</v>
      </c>
      <c r="K10" s="26">
        <f>'raw averages'!Q9</f>
        <v>3.8800000000000001E-2</v>
      </c>
      <c r="L10" s="24">
        <f>AVERAGE('raw averages'!R9:T9)</f>
        <v>4.4699999999999905E-3</v>
      </c>
      <c r="M10" s="25">
        <f>'raw averages'!U9</f>
        <v>0</v>
      </c>
      <c r="N10" s="39">
        <f>'raw averages'!V9</f>
        <v>4.0000000000000002E-4</v>
      </c>
    </row>
    <row r="11" spans="1:14" x14ac:dyDescent="0.3">
      <c r="A11" s="7">
        <v>9</v>
      </c>
      <c r="B11" s="7" t="s">
        <v>11</v>
      </c>
      <c r="C11" s="4">
        <f>AVERAGE('raw averages'!C10:E10)</f>
        <v>0.85980111111111102</v>
      </c>
      <c r="D11" s="5">
        <f>'raw averages'!F10</f>
        <v>0.794333333333333</v>
      </c>
      <c r="E11" s="6">
        <f>'raw averages'!G10</f>
        <v>0.46183333333333298</v>
      </c>
      <c r="F11" s="24">
        <f>SUM('raw averages'!H10:J10)</f>
        <v>8.0766666666666695E-3</v>
      </c>
      <c r="G11" s="25">
        <f>'raw averages'!K10</f>
        <v>0</v>
      </c>
      <c r="H11" s="26">
        <f>'raw averages'!L10</f>
        <v>2.0333333333333301E-3</v>
      </c>
      <c r="I11" s="24">
        <f>AVERAGE('raw averages'!M10:O10)</f>
        <v>1.70888888888889E-3</v>
      </c>
      <c r="J11" s="25">
        <f>'raw averages'!P10</f>
        <v>0</v>
      </c>
      <c r="K11" s="26">
        <f>'raw averages'!Q10</f>
        <v>4.0566666666666702E-2</v>
      </c>
      <c r="L11" s="24">
        <f>AVERAGE('raw averages'!R10:T10)</f>
        <v>9.8333333333333324E-4</v>
      </c>
      <c r="M11" s="25">
        <f>'raw averages'!U10</f>
        <v>0</v>
      </c>
      <c r="N11" s="39">
        <f>'raw averages'!V10</f>
        <v>4.6666666666666699E-4</v>
      </c>
    </row>
    <row r="12" spans="1:14" x14ac:dyDescent="0.3">
      <c r="A12" s="7">
        <v>10</v>
      </c>
      <c r="B12" s="7" t="s">
        <v>27</v>
      </c>
      <c r="C12" s="4">
        <f>AVERAGE('raw averages'!C11:E11)</f>
        <v>0.20996000000000001</v>
      </c>
      <c r="D12" s="5">
        <f>'raw averages'!F11</f>
        <v>0.26333333333333298</v>
      </c>
      <c r="E12" s="6">
        <f>'raw averages'!G11</f>
        <v>0.155733333333333</v>
      </c>
      <c r="F12" s="24">
        <f>SUM('raw averages'!H11:J11)</f>
        <v>2.6689999999999998E-2</v>
      </c>
      <c r="G12" s="25">
        <f>'raw averages'!K11</f>
        <v>5.47E-3</v>
      </c>
      <c r="H12" s="26">
        <f>'raw averages'!L11</f>
        <v>2.5000000000000001E-3</v>
      </c>
      <c r="I12" s="24">
        <f>AVERAGE('raw averages'!M11:O11)</f>
        <v>7.8133333333333457E-3</v>
      </c>
      <c r="J12" s="25">
        <f>'raw averages'!P11</f>
        <v>9.3333333333333306E-3</v>
      </c>
      <c r="K12" s="26">
        <f>'raw averages'!Q11</f>
        <v>2.7300000000000001E-2</v>
      </c>
      <c r="L12" s="24">
        <f>AVERAGE('raw averages'!R11:T11)</f>
        <v>2.7588888888888867E-3</v>
      </c>
      <c r="M12" s="25">
        <f>'raw averages'!U11</f>
        <v>3.5666666666666698E-3</v>
      </c>
      <c r="N12" s="39">
        <f>'raw averages'!V11</f>
        <v>5.9999999999999995E-4</v>
      </c>
    </row>
    <row r="13" spans="1:14" x14ac:dyDescent="0.3">
      <c r="A13" s="7">
        <v>11</v>
      </c>
      <c r="B13" s="7" t="s">
        <v>14</v>
      </c>
      <c r="C13" s="4">
        <f>AVERAGE('raw averages'!C12:E12)</f>
        <v>0.42270333333333365</v>
      </c>
      <c r="D13" s="5">
        <f>'raw averages'!F12</f>
        <v>0.40550000000000003</v>
      </c>
      <c r="E13" s="6">
        <f>'raw averages'!G12</f>
        <v>0.31166666666666698</v>
      </c>
      <c r="F13" s="24">
        <f>SUM('raw averages'!H12:J12)</f>
        <v>1.1786666666666671E-2</v>
      </c>
      <c r="G13" s="25">
        <f>'raw averages'!K12</f>
        <v>6.0533333333333298E-3</v>
      </c>
      <c r="H13" s="26">
        <f>'raw averages'!L12</f>
        <v>2.3E-3</v>
      </c>
      <c r="I13" s="24">
        <f>AVERAGE('raw averages'!M12:O12)</f>
        <v>8.8511111111111134E-3</v>
      </c>
      <c r="J13" s="25">
        <f>'raw averages'!P12</f>
        <v>2.3800000000000002E-2</v>
      </c>
      <c r="K13" s="26">
        <f>'raw averages'!Q12</f>
        <v>3.9866666666666703E-2</v>
      </c>
      <c r="L13" s="24">
        <f>AVERAGE('raw averages'!R12:T12)</f>
        <v>1.7922222222222235E-3</v>
      </c>
      <c r="M13" s="25">
        <f>'raw averages'!U12</f>
        <v>0</v>
      </c>
      <c r="N13" s="39">
        <f>'raw averages'!V12</f>
        <v>5.9999999999999995E-4</v>
      </c>
    </row>
    <row r="14" spans="1:14" x14ac:dyDescent="0.3">
      <c r="A14" s="7">
        <v>12</v>
      </c>
      <c r="B14" s="7" t="s">
        <v>1</v>
      </c>
      <c r="C14" s="4">
        <f>AVERAGE('raw averages'!C13:E13)</f>
        <v>2.3003333333333365E-2</v>
      </c>
      <c r="D14" s="5">
        <f>'raw averages'!F13</f>
        <v>1.01E-2</v>
      </c>
      <c r="E14" s="6">
        <f>'raw averages'!G13</f>
        <v>1.92333333333333E-2</v>
      </c>
      <c r="F14" s="24">
        <f>SUM('raw averages'!H13:J13)</f>
        <v>2.8566666666666701E-3</v>
      </c>
      <c r="G14" s="25">
        <f>'raw averages'!K13</f>
        <v>0</v>
      </c>
      <c r="H14" s="26">
        <f>'raw averages'!L13</f>
        <v>2.13333333333333E-3</v>
      </c>
      <c r="I14" s="24">
        <f>AVERAGE('raw averages'!M13:O13)</f>
        <v>0.16291666666666668</v>
      </c>
      <c r="J14" s="25">
        <f>'raw averages'!P13</f>
        <v>0.19196666666666701</v>
      </c>
      <c r="K14" s="26">
        <f>'raw averages'!Q13</f>
        <v>0.36503333333333299</v>
      </c>
      <c r="L14" s="24">
        <f>AVERAGE('raw averages'!R13:T13)</f>
        <v>0.10282777777777778</v>
      </c>
      <c r="M14" s="25">
        <f>'raw averages'!U13</f>
        <v>4.6899999999999997E-2</v>
      </c>
      <c r="N14" s="39">
        <f>'raw averages'!V13</f>
        <v>9.4700000000000006E-2</v>
      </c>
    </row>
    <row r="15" spans="1:14" x14ac:dyDescent="0.3">
      <c r="A15" s="7">
        <v>13</v>
      </c>
      <c r="B15" s="7" t="s">
        <v>43</v>
      </c>
      <c r="C15" s="4">
        <f>AVERAGE('raw averages'!C14:E14)</f>
        <v>1.0028888888888877E-2</v>
      </c>
      <c r="D15" s="5">
        <f>'raw averages'!F14</f>
        <v>4.2200000000000001E-2</v>
      </c>
      <c r="E15" s="6">
        <f>'raw averages'!G14</f>
        <v>7.0666666666666699E-3</v>
      </c>
      <c r="F15" s="24">
        <f>SUM('raw averages'!H14:J14)</f>
        <v>8.1009999999999999E-2</v>
      </c>
      <c r="G15" s="25">
        <f>'raw averages'!K14</f>
        <v>4.36E-2</v>
      </c>
      <c r="H15" s="26">
        <f>'raw averages'!L14</f>
        <v>1.11666666666667E-2</v>
      </c>
      <c r="I15" s="24">
        <f>AVERAGE('raw averages'!M14:O14)</f>
        <v>5.7466666666666673E-3</v>
      </c>
      <c r="J15" s="25">
        <f>'raw averages'!P14</f>
        <v>1.1900000000000001E-2</v>
      </c>
      <c r="K15" s="26">
        <f>'raw averages'!Q14</f>
        <v>1.41E-2</v>
      </c>
      <c r="L15" s="24">
        <f>AVERAGE('raw averages'!R14:T14)</f>
        <v>5.7622222222222103E-3</v>
      </c>
      <c r="M15" s="25">
        <f>'raw averages'!U14</f>
        <v>1.1900000000000001E-2</v>
      </c>
      <c r="N15" s="39">
        <f>'raw averages'!V14</f>
        <v>1.66666666666667E-3</v>
      </c>
    </row>
    <row r="16" spans="1:14" x14ac:dyDescent="0.3">
      <c r="A16" s="7">
        <v>14</v>
      </c>
      <c r="B16" s="7" t="s">
        <v>16</v>
      </c>
      <c r="C16" s="4">
        <f>AVERAGE('raw averages'!C15:E15)</f>
        <v>0.30292999999999998</v>
      </c>
      <c r="D16" s="5">
        <f>'raw averages'!F15</f>
        <v>0.3261</v>
      </c>
      <c r="E16" s="6">
        <f>'raw averages'!G15</f>
        <v>0.14126666666666701</v>
      </c>
      <c r="F16" s="24">
        <f>SUM('raw averages'!H15:J15)</f>
        <v>2.4236666666666642E-2</v>
      </c>
      <c r="G16" s="25">
        <f>'raw averages'!K15</f>
        <v>2.2616666666666702E-2</v>
      </c>
      <c r="H16" s="26">
        <f>'raw averages'!L15</f>
        <v>1.5E-3</v>
      </c>
      <c r="I16" s="24">
        <f>AVERAGE('raw averages'!M15:O15)</f>
        <v>2.4801111111111135E-2</v>
      </c>
      <c r="J16" s="25">
        <f>'raw averages'!P15</f>
        <v>5.1999999999999998E-3</v>
      </c>
      <c r="K16" s="26">
        <f>'raw averages'!Q15</f>
        <v>5.4733333333333301E-2</v>
      </c>
      <c r="L16" s="24">
        <f>AVERAGE('raw averages'!R15:T15)</f>
        <v>1.6244444444444433E-3</v>
      </c>
      <c r="M16" s="25">
        <f>'raw averages'!U15</f>
        <v>0.13539999999999999</v>
      </c>
      <c r="N16" s="39">
        <f>'raw averages'!V15</f>
        <v>2.9999999999999997E-4</v>
      </c>
    </row>
    <row r="17" spans="1:14" x14ac:dyDescent="0.3">
      <c r="A17" s="7">
        <v>15</v>
      </c>
      <c r="B17" s="7" t="s">
        <v>23</v>
      </c>
      <c r="C17" s="4">
        <f>AVERAGE('raw averages'!C16:E16)</f>
        <v>0.15355555555555567</v>
      </c>
      <c r="D17" s="5">
        <f>'raw averages'!F16</f>
        <v>0.18843333333333301</v>
      </c>
      <c r="E17" s="6">
        <f>'raw averages'!G16</f>
        <v>9.3600000000000003E-2</v>
      </c>
      <c r="F17" s="24">
        <f>SUM('raw averages'!H16:J16)</f>
        <v>2.0066666666666701E-3</v>
      </c>
      <c r="G17" s="25">
        <f>'raw averages'!K16</f>
        <v>0</v>
      </c>
      <c r="H17" s="26">
        <f>'raw averages'!L16</f>
        <v>2.3E-3</v>
      </c>
      <c r="I17" s="24">
        <f>AVERAGE('raw averages'!M16:O16)</f>
        <v>7.5555555555555662E-4</v>
      </c>
      <c r="J17" s="25">
        <f>'raw averages'!P16</f>
        <v>1.5866666666666699E-2</v>
      </c>
      <c r="K17" s="26">
        <f>'raw averages'!Q16</f>
        <v>2.2166666666666699E-2</v>
      </c>
      <c r="L17" s="24">
        <f>AVERAGE('raw averages'!R16:T16)</f>
        <v>0</v>
      </c>
      <c r="M17" s="25">
        <f>'raw averages'!U16</f>
        <v>0</v>
      </c>
      <c r="N17" s="39">
        <f>'raw averages'!V16</f>
        <v>3.33333333333333E-4</v>
      </c>
    </row>
    <row r="18" spans="1:14" x14ac:dyDescent="0.3">
      <c r="A18" s="7">
        <v>16</v>
      </c>
      <c r="B18" s="7" t="s">
        <v>29</v>
      </c>
      <c r="C18" s="4">
        <f>AVERAGE('raw averages'!C17:E17)</f>
        <v>8.5488888888888989E-2</v>
      </c>
      <c r="D18" s="5">
        <f>'raw averages'!F17</f>
        <v>6.5466666666666701E-2</v>
      </c>
      <c r="E18" s="6">
        <f>'raw averages'!G17</f>
        <v>3.5466666666666702E-2</v>
      </c>
      <c r="F18" s="24">
        <f>SUM('raw averages'!H17:J17)</f>
        <v>3.1209999999999967E-2</v>
      </c>
      <c r="G18" s="25">
        <f>'raw averages'!K17</f>
        <v>3.0540000000000001E-2</v>
      </c>
      <c r="H18" s="26">
        <f>'raw averages'!L17</f>
        <v>2.96666666666667E-3</v>
      </c>
      <c r="I18" s="24">
        <f>AVERAGE('raw averages'!M17:O17)</f>
        <v>6.8455555555555535E-3</v>
      </c>
      <c r="J18" s="25">
        <f>'raw averages'!P17</f>
        <v>9.5333333333333294E-3</v>
      </c>
      <c r="K18" s="26">
        <f>'raw averages'!Q17</f>
        <v>2.4666666666666701E-2</v>
      </c>
      <c r="L18" s="24">
        <f>AVERAGE('raw averages'!R17:T17)</f>
        <v>4.7911111111111097E-3</v>
      </c>
      <c r="M18" s="25">
        <f>'raw averages'!U17</f>
        <v>0</v>
      </c>
      <c r="N18" s="39">
        <f>'raw averages'!V17</f>
        <v>9.33333333333333E-4</v>
      </c>
    </row>
    <row r="19" spans="1:14" x14ac:dyDescent="0.3">
      <c r="A19" s="7">
        <v>17</v>
      </c>
      <c r="B19" s="7" t="s">
        <v>25</v>
      </c>
      <c r="C19" s="4">
        <f>AVERAGE('raw averages'!C18:E18)</f>
        <v>9.8272222222222427E-2</v>
      </c>
      <c r="D19" s="5">
        <f>'raw averages'!F18</f>
        <v>0.19146666666666701</v>
      </c>
      <c r="E19" s="6">
        <f>'raw averages'!G18</f>
        <v>5.7966666666666701E-2</v>
      </c>
      <c r="F19" s="24">
        <f>SUM('raw averages'!H18:J18)</f>
        <v>3.488333333333337E-2</v>
      </c>
      <c r="G19" s="25">
        <f>'raw averages'!K18</f>
        <v>9.2499999999999995E-3</v>
      </c>
      <c r="H19" s="26">
        <f>'raw averages'!L18</f>
        <v>7.9000000000000008E-3</v>
      </c>
      <c r="I19" s="24">
        <f>AVERAGE('raw averages'!M18:O18)</f>
        <v>9.1733333333333441E-3</v>
      </c>
      <c r="J19" s="25">
        <f>'raw averages'!P18</f>
        <v>0</v>
      </c>
      <c r="K19" s="26">
        <f>'raw averages'!Q18</f>
        <v>2.96333333333333E-2</v>
      </c>
      <c r="L19" s="24">
        <f>AVERAGE('raw averages'!R18:T18)</f>
        <v>1.9922222222222221E-3</v>
      </c>
      <c r="M19" s="25">
        <f>'raw averages'!U18</f>
        <v>0</v>
      </c>
      <c r="N19" s="39">
        <f>'raw averages'!V18</f>
        <v>8.3333333333333295E-4</v>
      </c>
    </row>
    <row r="20" spans="1:14" x14ac:dyDescent="0.3">
      <c r="A20" s="7">
        <v>18</v>
      </c>
      <c r="B20" s="7" t="s">
        <v>36</v>
      </c>
      <c r="C20" s="4">
        <f>AVERAGE('raw averages'!C19:E19)</f>
        <v>0.15653666666666657</v>
      </c>
      <c r="D20" s="5">
        <f>'raw averages'!F19</f>
        <v>0.19020000000000001</v>
      </c>
      <c r="E20" s="6">
        <f>'raw averages'!G19</f>
        <v>8.0666666666666706E-2</v>
      </c>
      <c r="F20" s="24">
        <f>SUM('raw averages'!H19:J19)</f>
        <v>2.5566666666666702E-3</v>
      </c>
      <c r="G20" s="25">
        <f>'raw averages'!K19</f>
        <v>0</v>
      </c>
      <c r="H20" s="26">
        <f>'raw averages'!L19</f>
        <v>2.0999999999999999E-3</v>
      </c>
      <c r="I20" s="24">
        <f>AVERAGE('raw averages'!M19:O19)</f>
        <v>1.8622222222222234E-3</v>
      </c>
      <c r="J20" s="25">
        <f>'raw averages'!P19</f>
        <v>0</v>
      </c>
      <c r="K20" s="26">
        <f>'raw averages'!Q19</f>
        <v>1.4833333333333301E-2</v>
      </c>
      <c r="L20" s="24">
        <f>AVERAGE('raw averages'!R19:T19)</f>
        <v>5.2888888888889005E-4</v>
      </c>
      <c r="M20" s="25">
        <f>'raw averages'!U19</f>
        <v>0</v>
      </c>
      <c r="N20" s="39">
        <f>'raw averages'!V19</f>
        <v>5.9999999999999995E-4</v>
      </c>
    </row>
    <row r="21" spans="1:14" x14ac:dyDescent="0.3">
      <c r="A21" s="7">
        <v>19</v>
      </c>
      <c r="B21" s="7" t="s">
        <v>35</v>
      </c>
      <c r="C21" s="4">
        <f>AVERAGE('raw averages'!C20:E20)</f>
        <v>0.43287444444444462</v>
      </c>
      <c r="D21" s="5">
        <f>'raw averages'!F20</f>
        <v>0.45486666666666697</v>
      </c>
      <c r="E21" s="6">
        <f>'raw averages'!G20</f>
        <v>0.32146666666666701</v>
      </c>
      <c r="F21" s="24">
        <f>SUM('raw averages'!H20:J20)</f>
        <v>2.0750000000000039E-2</v>
      </c>
      <c r="G21" s="25">
        <f>'raw averages'!K20</f>
        <v>1.8030000000000001E-2</v>
      </c>
      <c r="H21" s="26">
        <f>'raw averages'!L20</f>
        <v>6.4000000000000003E-3</v>
      </c>
      <c r="I21" s="24">
        <f>AVERAGE('raw averages'!M20:O20)</f>
        <v>3.9166666666666664E-3</v>
      </c>
      <c r="J21" s="25">
        <f>'raw averages'!P20</f>
        <v>7.7333333333333299E-3</v>
      </c>
      <c r="K21" s="26">
        <f>'raw averages'!Q20</f>
        <v>1.7133333333333299E-2</v>
      </c>
      <c r="L21" s="24">
        <f>AVERAGE('raw averages'!R20:T20)</f>
        <v>8.8222222222222337E-4</v>
      </c>
      <c r="M21" s="25">
        <f>'raw averages'!U20</f>
        <v>0</v>
      </c>
      <c r="N21" s="39">
        <f>'raw averages'!V20</f>
        <v>4.0000000000000002E-4</v>
      </c>
    </row>
    <row r="22" spans="1:14" x14ac:dyDescent="0.3">
      <c r="A22" s="7">
        <v>20</v>
      </c>
      <c r="B22" s="7" t="s">
        <v>48</v>
      </c>
      <c r="C22" s="4">
        <f>AVERAGE('raw averages'!C21:E21)</f>
        <v>5.0677777777777662E-2</v>
      </c>
      <c r="D22" s="5">
        <f>'raw averages'!F21</f>
        <v>1.8966666666666701E-2</v>
      </c>
      <c r="E22" s="6">
        <f>'raw averages'!G21</f>
        <v>1.47E-2</v>
      </c>
      <c r="F22" s="24">
        <f>SUM('raw averages'!H21:J21)</f>
        <v>3.6336666666666698E-2</v>
      </c>
      <c r="G22" s="25">
        <f>'raw averages'!K21</f>
        <v>0</v>
      </c>
      <c r="H22" s="26">
        <f>'raw averages'!L21</f>
        <v>6.4999999999999997E-3</v>
      </c>
      <c r="I22" s="24">
        <f>AVERAGE('raw averages'!M21:O21)</f>
        <v>7.3777777777777895E-3</v>
      </c>
      <c r="J22" s="25">
        <f>'raw averages'!P21</f>
        <v>3.0666666666666698E-3</v>
      </c>
      <c r="K22" s="26">
        <f>'raw averages'!Q21</f>
        <v>1.18333333333333E-2</v>
      </c>
      <c r="L22" s="24">
        <f>AVERAGE('raw averages'!R21:T21)</f>
        <v>3.6633333333333331E-3</v>
      </c>
      <c r="M22" s="25">
        <f>'raw averages'!U21</f>
        <v>4.1000000000000003E-3</v>
      </c>
      <c r="N22" s="39">
        <f>'raw averages'!V21</f>
        <v>2.9999999999999997E-4</v>
      </c>
    </row>
    <row r="23" spans="1:14" x14ac:dyDescent="0.3">
      <c r="A23" s="7">
        <v>21</v>
      </c>
      <c r="B23" s="7" t="s">
        <v>8</v>
      </c>
      <c r="C23" s="4">
        <f>AVERAGE('raw averages'!C22:E22)</f>
        <v>0.48931111111111097</v>
      </c>
      <c r="D23" s="5">
        <f>'raw averages'!F22</f>
        <v>0.45133333333333298</v>
      </c>
      <c r="E23" s="6">
        <f>'raw averages'!G22</f>
        <v>0.296366666666667</v>
      </c>
      <c r="F23" s="24">
        <f>SUM('raw averages'!H22:J22)</f>
        <v>4.6633333333333301E-3</v>
      </c>
      <c r="G23" s="25">
        <f>'raw averages'!K22</f>
        <v>2.8733333333333302E-3</v>
      </c>
      <c r="H23" s="26">
        <f>'raw averages'!L22</f>
        <v>2.3999999999999998E-3</v>
      </c>
      <c r="I23" s="24">
        <f>AVERAGE('raw averages'!M22:O22)</f>
        <v>1.4335555555555558E-2</v>
      </c>
      <c r="J23" s="25">
        <f>'raw averages'!P22</f>
        <v>1.18E-2</v>
      </c>
      <c r="K23" s="26">
        <f>'raw averages'!Q22</f>
        <v>6.3700000000000007E-2</v>
      </c>
      <c r="L23" s="24">
        <f>AVERAGE('raw averages'!R22:T22)</f>
        <v>0</v>
      </c>
      <c r="M23" s="25">
        <f>'raw averages'!U22</f>
        <v>0</v>
      </c>
      <c r="N23" s="39">
        <f>'raw averages'!V22</f>
        <v>5.0000000000000001E-4</v>
      </c>
    </row>
    <row r="24" spans="1:14" x14ac:dyDescent="0.3">
      <c r="A24" s="7">
        <v>22</v>
      </c>
      <c r="B24" s="7" t="s">
        <v>10</v>
      </c>
      <c r="C24" s="4">
        <f>AVERAGE('raw averages'!C23:E23)</f>
        <v>0.11262444444444443</v>
      </c>
      <c r="D24" s="5">
        <f>'raw averages'!F23</f>
        <v>0.16013333333333299</v>
      </c>
      <c r="E24" s="6">
        <f>'raw averages'!G23</f>
        <v>7.0533333333333295E-2</v>
      </c>
      <c r="F24" s="24">
        <f>SUM('raw averages'!H23:J23)</f>
        <v>2.44233333333333E-2</v>
      </c>
      <c r="G24" s="25">
        <f>'raw averages'!K23</f>
        <v>1.7219999999999999E-2</v>
      </c>
      <c r="H24" s="26">
        <f>'raw averages'!L23</f>
        <v>1.8E-3</v>
      </c>
      <c r="I24" s="24">
        <f>AVERAGE('raw averages'!M23:O23)</f>
        <v>2.402E-2</v>
      </c>
      <c r="J24" s="25">
        <f>'raw averages'!P23</f>
        <v>3.22666666666667E-2</v>
      </c>
      <c r="K24" s="26">
        <f>'raw averages'!Q23</f>
        <v>6.6166666666666707E-2</v>
      </c>
      <c r="L24" s="24">
        <f>AVERAGE('raw averages'!R23:T23)</f>
        <v>1.4533333333333334E-3</v>
      </c>
      <c r="M24" s="25">
        <f>'raw averages'!U23</f>
        <v>0</v>
      </c>
      <c r="N24" s="39">
        <f>'raw averages'!V23</f>
        <v>4.0000000000000002E-4</v>
      </c>
    </row>
    <row r="25" spans="1:14" x14ac:dyDescent="0.3">
      <c r="A25" s="7">
        <v>23</v>
      </c>
      <c r="B25" s="7" t="s">
        <v>33</v>
      </c>
      <c r="C25" s="4">
        <f>AVERAGE('raw averages'!C24:E24)</f>
        <v>0.29974888888888901</v>
      </c>
      <c r="D25" s="5">
        <f>'raw averages'!F24</f>
        <v>0.4032</v>
      </c>
      <c r="E25" s="6">
        <f>'raw averages'!G24</f>
        <v>0.1384</v>
      </c>
      <c r="F25" s="24">
        <f>SUM('raw averages'!H24:J24)</f>
        <v>3.9673333333333366E-2</v>
      </c>
      <c r="G25" s="25">
        <f>'raw averages'!K24</f>
        <v>9.8433333333333307E-3</v>
      </c>
      <c r="H25" s="26">
        <f>'raw averages'!L24</f>
        <v>5.6666666666666697E-3</v>
      </c>
      <c r="I25" s="24">
        <f>AVERAGE('raw averages'!M24:O24)</f>
        <v>1.5493333333333323E-2</v>
      </c>
      <c r="J25" s="25">
        <f>'raw averages'!P24</f>
        <v>3.46666666666667E-3</v>
      </c>
      <c r="K25" s="26">
        <f>'raw averages'!Q24</f>
        <v>3.1133333333333301E-2</v>
      </c>
      <c r="L25" s="24">
        <f>AVERAGE('raw averages'!R24:T24)</f>
        <v>7.6910000000000006E-2</v>
      </c>
      <c r="M25" s="25">
        <f>'raw averages'!U24</f>
        <v>0</v>
      </c>
      <c r="N25" s="39">
        <f>'raw averages'!V24</f>
        <v>2.9999999999999997E-4</v>
      </c>
    </row>
    <row r="26" spans="1:14" x14ac:dyDescent="0.3">
      <c r="A26" s="7">
        <v>24</v>
      </c>
      <c r="B26" s="7" t="s">
        <v>20</v>
      </c>
      <c r="C26" s="4">
        <f>AVERAGE('raw averages'!C25:E25)</f>
        <v>0.17788999999999966</v>
      </c>
      <c r="D26" s="5">
        <f>'raw averages'!F25</f>
        <v>9.4500000000000001E-2</v>
      </c>
      <c r="E26" s="6">
        <f>'raw averages'!G25</f>
        <v>6.1600000000000002E-2</v>
      </c>
      <c r="F26" s="24">
        <f>SUM('raw averages'!H25:J25)</f>
        <v>0.10958999999999999</v>
      </c>
      <c r="G26" s="25">
        <f>'raw averages'!K25</f>
        <v>1.23466666666667E-2</v>
      </c>
      <c r="H26" s="26">
        <f>'raw averages'!L25</f>
        <v>1.0699999999999999E-2</v>
      </c>
      <c r="I26" s="24">
        <f>AVERAGE('raw averages'!M25:O25)</f>
        <v>2.4036666666666665E-2</v>
      </c>
      <c r="J26" s="25">
        <f>'raw averages'!P25</f>
        <v>0</v>
      </c>
      <c r="K26" s="26">
        <f>'raw averages'!Q25</f>
        <v>4.8599999999999997E-2</v>
      </c>
      <c r="L26" s="24">
        <f>AVERAGE('raw averages'!R25:T25)</f>
        <v>1.0523333333333334E-2</v>
      </c>
      <c r="M26" s="25">
        <f>'raw averages'!U25</f>
        <v>0</v>
      </c>
      <c r="N26" s="39">
        <f>'raw averages'!V25</f>
        <v>4.6666666666666699E-4</v>
      </c>
    </row>
    <row r="27" spans="1:14" x14ac:dyDescent="0.3">
      <c r="A27" s="7">
        <v>25</v>
      </c>
      <c r="B27" s="7" t="s">
        <v>51</v>
      </c>
      <c r="C27" s="4">
        <f>AVERAGE('raw averages'!C26:E26)</f>
        <v>0.43216888888888905</v>
      </c>
      <c r="D27" s="5">
        <f>'raw averages'!F26</f>
        <v>0.444033333333333</v>
      </c>
      <c r="E27" s="6">
        <f>'raw averages'!G26</f>
        <v>0.37359999999999999</v>
      </c>
      <c r="F27" s="24">
        <f>SUM('raw averages'!H26:J26)</f>
        <v>2.8999999999999998E-3</v>
      </c>
      <c r="G27" s="25">
        <f>'raw averages'!K26</f>
        <v>0</v>
      </c>
      <c r="H27" s="26">
        <f>'raw averages'!L26</f>
        <v>4.8999999999999998E-3</v>
      </c>
      <c r="I27" s="24">
        <f>AVERAGE('raw averages'!M26:O26)</f>
        <v>5.4853333333333337E-2</v>
      </c>
      <c r="J27" s="25">
        <f>'raw averages'!P26</f>
        <v>1.4500000000000001E-2</v>
      </c>
      <c r="K27" s="26">
        <f>'raw averages'!Q26</f>
        <v>1.0233333333333299E-2</v>
      </c>
      <c r="L27" s="24">
        <f>AVERAGE('raw averages'!R26:T26)</f>
        <v>5.3497777777777665E-2</v>
      </c>
      <c r="M27" s="25">
        <f>'raw averages'!U26</f>
        <v>0</v>
      </c>
      <c r="N27" s="39">
        <f>'raw averages'!V26</f>
        <v>3.33333333333333E-4</v>
      </c>
    </row>
    <row r="28" spans="1:14" x14ac:dyDescent="0.3">
      <c r="A28" s="7">
        <v>26</v>
      </c>
      <c r="B28" s="7" t="s">
        <v>32</v>
      </c>
      <c r="C28" s="4">
        <f>AVERAGE('raw averages'!C27:E27)</f>
        <v>0.18276999999999999</v>
      </c>
      <c r="D28" s="5">
        <f>'raw averages'!F27</f>
        <v>0.29476666666666701</v>
      </c>
      <c r="E28" s="6">
        <f>'raw averages'!G27</f>
        <v>0.11613333333333301</v>
      </c>
      <c r="F28" s="24">
        <f>SUM('raw averages'!H27:J27)</f>
        <v>2.934333333333336E-2</v>
      </c>
      <c r="G28" s="25">
        <f>'raw averages'!K27</f>
        <v>1.1463333333333299E-2</v>
      </c>
      <c r="H28" s="26">
        <f>'raw averages'!L27</f>
        <v>4.2666666666666703E-3</v>
      </c>
      <c r="I28" s="24">
        <f>AVERAGE('raw averages'!M27:O27)</f>
        <v>3.5511111111111104E-3</v>
      </c>
      <c r="J28" s="25">
        <f>'raw averages'!P27</f>
        <v>1.7299999999999999E-2</v>
      </c>
      <c r="K28" s="26">
        <f>'raw averages'!Q27</f>
        <v>1.9699999999999999E-2</v>
      </c>
      <c r="L28" s="24">
        <f>AVERAGE('raw averages'!R27:T27)</f>
        <v>1.4622222222222233E-3</v>
      </c>
      <c r="M28" s="25">
        <f>'raw averages'!U27</f>
        <v>0</v>
      </c>
      <c r="N28" s="39">
        <f>'raw averages'!V27</f>
        <v>1.1999999999999999E-3</v>
      </c>
    </row>
    <row r="29" spans="1:14" x14ac:dyDescent="0.3">
      <c r="A29" s="7">
        <v>27</v>
      </c>
      <c r="B29" s="7" t="s">
        <v>47</v>
      </c>
      <c r="C29" s="4">
        <f>AVERAGE('raw averages'!C28:E28)</f>
        <v>6.6988888888888862E-3</v>
      </c>
      <c r="D29" s="5">
        <f>'raw averages'!F28</f>
        <v>1.47E-2</v>
      </c>
      <c r="E29" s="6">
        <f>'raw averages'!G28</f>
        <v>5.13333333333333E-3</v>
      </c>
      <c r="F29" s="24">
        <f>SUM('raw averages'!H28:J28)</f>
        <v>0.32930000000000004</v>
      </c>
      <c r="G29" s="25">
        <f>'raw averages'!K28</f>
        <v>0.10315000000000001</v>
      </c>
      <c r="H29" s="26">
        <f>'raw averages'!L28</f>
        <v>6.13E-2</v>
      </c>
      <c r="I29" s="24">
        <f>AVERAGE('raw averages'!M28:O28)</f>
        <v>1.4244444444444435E-3</v>
      </c>
      <c r="J29" s="25">
        <f>'raw averages'!P28</f>
        <v>4.8999999999999998E-3</v>
      </c>
      <c r="K29" s="26">
        <f>'raw averages'!Q28</f>
        <v>8.3333333333333297E-3</v>
      </c>
      <c r="L29" s="24">
        <f>AVERAGE('raw averages'!R28:T28)</f>
        <v>0.10271999999999991</v>
      </c>
      <c r="M29" s="25">
        <f>'raw averages'!U28</f>
        <v>0</v>
      </c>
      <c r="N29" s="39">
        <f>'raw averages'!V28</f>
        <v>6.9999999999999999E-4</v>
      </c>
    </row>
    <row r="30" spans="1:14" x14ac:dyDescent="0.3">
      <c r="A30" s="7">
        <v>28</v>
      </c>
      <c r="B30" s="7" t="s">
        <v>24</v>
      </c>
      <c r="C30" s="4">
        <f>AVERAGE('raw averages'!C29:E29)</f>
        <v>7.7293333333333228E-2</v>
      </c>
      <c r="D30" s="5">
        <f>'raw averages'!F29</f>
        <v>0.12809999999999999</v>
      </c>
      <c r="E30" s="6">
        <f>'raw averages'!G29</f>
        <v>4.7399999999999998E-2</v>
      </c>
      <c r="F30" s="24">
        <f>SUM('raw averages'!H29:J29)</f>
        <v>3.4936666666666699E-2</v>
      </c>
      <c r="G30" s="25">
        <f>'raw averages'!K29</f>
        <v>0</v>
      </c>
      <c r="H30" s="26">
        <f>'raw averages'!L29</f>
        <v>8.3000000000000001E-3</v>
      </c>
      <c r="I30" s="24">
        <f>AVERAGE('raw averages'!M29:O29)</f>
        <v>3.0033333333333335E-3</v>
      </c>
      <c r="J30" s="25">
        <f>'raw averages'!P29</f>
        <v>0</v>
      </c>
      <c r="K30" s="26">
        <f>'raw averages'!Q29</f>
        <v>2.4066666666666701E-2</v>
      </c>
      <c r="L30" s="24">
        <f>AVERAGE('raw averages'!R29:T29)</f>
        <v>8.5588888888889006E-3</v>
      </c>
      <c r="M30" s="25">
        <f>'raw averages'!U29</f>
        <v>0</v>
      </c>
      <c r="N30" s="39">
        <f>'raw averages'!V29</f>
        <v>5.9999999999999995E-4</v>
      </c>
    </row>
    <row r="31" spans="1:14" x14ac:dyDescent="0.3">
      <c r="A31" s="7">
        <v>29</v>
      </c>
      <c r="B31" s="7" t="s">
        <v>6</v>
      </c>
      <c r="C31" s="4">
        <f>AVERAGE('raw averages'!C30:E30)</f>
        <v>0.19527999999999968</v>
      </c>
      <c r="D31" s="5">
        <f>'raw averages'!F30</f>
        <v>0.196566666666667</v>
      </c>
      <c r="E31" s="6">
        <f>'raw averages'!G30</f>
        <v>8.7166666666666698E-2</v>
      </c>
      <c r="F31" s="24">
        <f>SUM('raw averages'!H30:J30)</f>
        <v>5.7893333333333297E-2</v>
      </c>
      <c r="G31" s="25">
        <f>'raw averages'!K30</f>
        <v>1.7663333333333298E-2</v>
      </c>
      <c r="H31" s="26">
        <f>'raw averages'!L30</f>
        <v>8.6333333333333297E-3</v>
      </c>
      <c r="I31" s="24">
        <f>AVERAGE('raw averages'!M30:O30)</f>
        <v>2.2098888888888901E-2</v>
      </c>
      <c r="J31" s="25">
        <f>'raw averages'!P30</f>
        <v>3.6799999999999999E-2</v>
      </c>
      <c r="K31" s="26">
        <f>'raw averages'!Q30</f>
        <v>7.99666666666667E-2</v>
      </c>
      <c r="L31" s="24">
        <f>AVERAGE('raw averages'!R30:T30)</f>
        <v>5.4200000000000003E-3</v>
      </c>
      <c r="M31" s="25">
        <f>'raw averages'!U30</f>
        <v>0</v>
      </c>
      <c r="N31" s="39">
        <f>'raw averages'!V30</f>
        <v>6.1000000000000004E-3</v>
      </c>
    </row>
    <row r="32" spans="1:14" x14ac:dyDescent="0.3">
      <c r="A32" s="7">
        <v>30</v>
      </c>
      <c r="B32" s="7" t="s">
        <v>39</v>
      </c>
      <c r="C32" s="4">
        <f>AVERAGE('raw averages'!C31:E31)</f>
        <v>1.4627777777777767E-2</v>
      </c>
      <c r="D32" s="5">
        <f>'raw averages'!F31</f>
        <v>4.2299999999999997E-2</v>
      </c>
      <c r="E32" s="6">
        <f>'raw averages'!G31</f>
        <v>1.3133333333333301E-2</v>
      </c>
      <c r="F32" s="24">
        <f>SUM('raw averages'!H31:J31)</f>
        <v>2.4259999999999969E-2</v>
      </c>
      <c r="G32" s="25">
        <f>'raw averages'!K31</f>
        <v>0</v>
      </c>
      <c r="H32" s="26">
        <f>'raw averages'!L31</f>
        <v>2.0999999999999999E-3</v>
      </c>
      <c r="I32" s="24">
        <f>AVERAGE('raw averages'!M31:O31)</f>
        <v>1.6747777777777789E-2</v>
      </c>
      <c r="J32" s="25">
        <f>'raw averages'!P31</f>
        <v>2.77666666666667E-2</v>
      </c>
      <c r="K32" s="26">
        <f>'raw averages'!Q31</f>
        <v>2.8500000000000001E-2</v>
      </c>
      <c r="L32" s="24">
        <f>AVERAGE('raw averages'!R31:T31)</f>
        <v>2.0866666666666668E-3</v>
      </c>
      <c r="M32" s="25">
        <f>'raw averages'!U31</f>
        <v>0</v>
      </c>
      <c r="N32" s="39">
        <f>'raw averages'!V31</f>
        <v>2.9999999999999997E-4</v>
      </c>
    </row>
    <row r="33" spans="1:14" x14ac:dyDescent="0.3">
      <c r="A33" s="7">
        <v>31</v>
      </c>
      <c r="B33" s="7" t="s">
        <v>3</v>
      </c>
      <c r="C33" s="4">
        <f>AVERAGE('raw averages'!C32:E32)</f>
        <v>0.19769333333333336</v>
      </c>
      <c r="D33" s="5">
        <f>'raw averages'!F32</f>
        <v>0.22573333333333301</v>
      </c>
      <c r="E33" s="6">
        <f>'raw averages'!G32</f>
        <v>0.12920000000000001</v>
      </c>
      <c r="F33" s="24">
        <f>SUM('raw averages'!H32:J32)</f>
        <v>8.1666666666666704E-4</v>
      </c>
      <c r="G33" s="25">
        <f>'raw averages'!K32</f>
        <v>0</v>
      </c>
      <c r="H33" s="26">
        <f>'raw averages'!L32</f>
        <v>1.4E-3</v>
      </c>
      <c r="I33" s="24">
        <f>AVERAGE('raw averages'!M32:O32)</f>
        <v>1.6068888888888865E-2</v>
      </c>
      <c r="J33" s="25">
        <f>'raw averages'!P32</f>
        <v>3.2333333333333297E-2</v>
      </c>
      <c r="K33" s="26">
        <f>'raw averages'!Q32</f>
        <v>9.4100000000000003E-2</v>
      </c>
      <c r="L33" s="24">
        <f>AVERAGE('raw averages'!R32:T32)</f>
        <v>9.9222222222222225E-4</v>
      </c>
      <c r="M33" s="25">
        <f>'raw averages'!U32</f>
        <v>0</v>
      </c>
      <c r="N33" s="39">
        <f>'raw averages'!V32</f>
        <v>2.9999999999999997E-4</v>
      </c>
    </row>
    <row r="34" spans="1:14" x14ac:dyDescent="0.3">
      <c r="A34" s="7">
        <v>32</v>
      </c>
      <c r="B34" s="7" t="s">
        <v>49</v>
      </c>
      <c r="C34" s="4">
        <f>AVERAGE('raw averages'!C33:E33)</f>
        <v>2.9045555555555574E-2</v>
      </c>
      <c r="D34" s="5">
        <f>'raw averages'!F33</f>
        <v>5.8999999999999997E-2</v>
      </c>
      <c r="E34" s="6">
        <f>'raw averages'!G33</f>
        <v>1.8100000000000002E-2</v>
      </c>
      <c r="F34" s="24">
        <f>SUM('raw averages'!H33:J33)</f>
        <v>0.19948333333333329</v>
      </c>
      <c r="G34" s="25">
        <f>'raw averages'!K33</f>
        <v>9.5799999999999996E-2</v>
      </c>
      <c r="H34" s="26">
        <f>'raw averages'!L33</f>
        <v>8.7866666666666704E-2</v>
      </c>
      <c r="I34" s="24">
        <f>AVERAGE('raw averages'!M33:O33)</f>
        <v>1.2782222222222231E-2</v>
      </c>
      <c r="J34" s="25">
        <f>'raw averages'!P33</f>
        <v>1.3333333333333299E-2</v>
      </c>
      <c r="K34" s="26">
        <f>'raw averages'!Q33</f>
        <v>1.4999999999999999E-2</v>
      </c>
      <c r="L34" s="24">
        <f>AVERAGE('raw averages'!R33:T33)</f>
        <v>2.755666666666667E-2</v>
      </c>
      <c r="M34" s="25">
        <f>'raw averages'!U33</f>
        <v>0</v>
      </c>
      <c r="N34" s="39">
        <f>'raw averages'!V33</f>
        <v>6.3333333333333297E-4</v>
      </c>
    </row>
    <row r="35" spans="1:14" x14ac:dyDescent="0.3">
      <c r="A35" s="7">
        <v>33</v>
      </c>
      <c r="B35" s="7" t="s">
        <v>4</v>
      </c>
      <c r="C35" s="4">
        <f>AVERAGE('raw averages'!C34:E34)</f>
        <v>0.23917777777777763</v>
      </c>
      <c r="D35" s="5">
        <f>'raw averages'!F34</f>
        <v>0.303433333333333</v>
      </c>
      <c r="E35" s="6">
        <f>'raw averages'!G34</f>
        <v>0.14523333333333299</v>
      </c>
      <c r="F35" s="24">
        <f>SUM('raw averages'!H34:J34)</f>
        <v>5.5666666666666701E-4</v>
      </c>
      <c r="G35" s="25">
        <f>'raw averages'!K34</f>
        <v>7.6099999999999996E-3</v>
      </c>
      <c r="H35" s="26">
        <f>'raw averages'!L34</f>
        <v>2.8999999999999998E-3</v>
      </c>
      <c r="I35" s="24">
        <f>AVERAGE('raw averages'!M34:O34)</f>
        <v>1.0313333333333332E-2</v>
      </c>
      <c r="J35" s="25">
        <f>'raw averages'!P34</f>
        <v>3.1033333333333302E-2</v>
      </c>
      <c r="K35" s="26">
        <f>'raw averages'!Q34</f>
        <v>8.48E-2</v>
      </c>
      <c r="L35" s="24">
        <f>AVERAGE('raw averages'!R34:T34)</f>
        <v>2.5633333333333333E-3</v>
      </c>
      <c r="M35" s="25">
        <f>'raw averages'!U34</f>
        <v>0</v>
      </c>
      <c r="N35" s="39">
        <f>'raw averages'!V34</f>
        <v>4.3333333333333299E-4</v>
      </c>
    </row>
    <row r="36" spans="1:14" x14ac:dyDescent="0.3">
      <c r="A36" s="7">
        <v>34</v>
      </c>
      <c r="B36" s="7" t="s">
        <v>22</v>
      </c>
      <c r="C36" s="4">
        <f>AVERAGE('raw averages'!C35:E35)</f>
        <v>0.30503444444444466</v>
      </c>
      <c r="D36" s="5">
        <f>'raw averages'!F35</f>
        <v>0.36423333333333302</v>
      </c>
      <c r="E36" s="6">
        <f>'raw averages'!G35</f>
        <v>0.214</v>
      </c>
      <c r="F36" s="24">
        <f>SUM('raw averages'!H35:J35)</f>
        <v>3.8653333333333401E-2</v>
      </c>
      <c r="G36" s="25">
        <f>'raw averages'!K35</f>
        <v>1.24633333333333E-2</v>
      </c>
      <c r="H36" s="26">
        <f>'raw averages'!L35</f>
        <v>1.1333333333333299E-2</v>
      </c>
      <c r="I36" s="24">
        <f>AVERAGE('raw averages'!M35:O35)</f>
        <v>6.5733333333333338E-3</v>
      </c>
      <c r="J36" s="25">
        <f>'raw averages'!P35</f>
        <v>0</v>
      </c>
      <c r="K36" s="26">
        <f>'raw averages'!Q35</f>
        <v>2.8400000000000002E-2</v>
      </c>
      <c r="L36" s="24">
        <f>AVERAGE('raw averages'!R35:T35)</f>
        <v>3.0555555555555566E-3</v>
      </c>
      <c r="M36" s="25">
        <f>'raw averages'!U35</f>
        <v>0</v>
      </c>
      <c r="N36" s="39">
        <f>'raw averages'!V35</f>
        <v>5.9999999999999995E-4</v>
      </c>
    </row>
    <row r="37" spans="1:14" x14ac:dyDescent="0.3">
      <c r="A37" s="7">
        <v>35</v>
      </c>
      <c r="B37" s="7" t="s">
        <v>45</v>
      </c>
      <c r="C37" s="4">
        <f>AVERAGE('raw averages'!C36:E36)</f>
        <v>1.8016666666666691E-2</v>
      </c>
      <c r="D37" s="5">
        <f>'raw averages'!F36</f>
        <v>5.4666666666666697E-2</v>
      </c>
      <c r="E37" s="6">
        <f>'raw averages'!G36</f>
        <v>2.7799999999999998E-2</v>
      </c>
      <c r="F37" s="24">
        <f>SUM('raw averages'!H36:J36)</f>
        <v>0.38165999999999933</v>
      </c>
      <c r="G37" s="25">
        <f>'raw averages'!K36</f>
        <v>0.22825000000000001</v>
      </c>
      <c r="H37" s="26">
        <f>'raw averages'!L36</f>
        <v>5.1133333333333301E-2</v>
      </c>
      <c r="I37" s="24">
        <f>AVERAGE('raw averages'!M36:O36)</f>
        <v>7.5166666666666672E-3</v>
      </c>
      <c r="J37" s="25">
        <f>'raw averages'!P36</f>
        <v>0</v>
      </c>
      <c r="K37" s="26">
        <f>'raw averages'!Q36</f>
        <v>1.49E-2</v>
      </c>
      <c r="L37" s="24">
        <f>AVERAGE('raw averages'!R36:T36)</f>
        <v>2.4395555555555556E-2</v>
      </c>
      <c r="M37" s="25">
        <f>'raw averages'!U36</f>
        <v>0</v>
      </c>
      <c r="N37" s="39">
        <f>'raw averages'!V36</f>
        <v>5.3333333333333303E-4</v>
      </c>
    </row>
    <row r="38" spans="1:14" x14ac:dyDescent="0.3">
      <c r="A38" s="7">
        <v>36</v>
      </c>
      <c r="B38" s="7" t="s">
        <v>30</v>
      </c>
      <c r="C38" s="4">
        <f>AVERAGE('raw averages'!C37:E37)</f>
        <v>0.19193666666666664</v>
      </c>
      <c r="D38" s="5">
        <f>'raw averages'!F37</f>
        <v>0.22869999999999999</v>
      </c>
      <c r="E38" s="6">
        <f>'raw averages'!G37</f>
        <v>0.124866666666667</v>
      </c>
      <c r="F38" s="24">
        <f>SUM('raw averages'!H37:J37)</f>
        <v>1.0530000000000006E-2</v>
      </c>
      <c r="G38" s="25">
        <f>'raw averages'!K37</f>
        <v>0</v>
      </c>
      <c r="H38" s="26">
        <f>'raw averages'!L37</f>
        <v>1.9E-3</v>
      </c>
      <c r="I38" s="24">
        <f>AVERAGE('raw averages'!M37:O37)</f>
        <v>4.4655555555555568E-3</v>
      </c>
      <c r="J38" s="25">
        <f>'raw averages'!P37</f>
        <v>9.6333333333333306E-3</v>
      </c>
      <c r="K38" s="26">
        <f>'raw averages'!Q37</f>
        <v>2.2266666666666698E-2</v>
      </c>
      <c r="L38" s="24">
        <f>AVERAGE('raw averages'!R37:T37)</f>
        <v>1.1566666666666667E-3</v>
      </c>
      <c r="M38" s="25">
        <f>'raw averages'!U37</f>
        <v>0</v>
      </c>
      <c r="N38" s="39">
        <f>'raw averages'!V37</f>
        <v>4.0000000000000002E-4</v>
      </c>
    </row>
    <row r="39" spans="1:14" x14ac:dyDescent="0.3">
      <c r="A39" s="7">
        <v>37</v>
      </c>
      <c r="B39" s="7" t="s">
        <v>28</v>
      </c>
      <c r="C39" s="4">
        <f>AVERAGE('raw averages'!C38:E38)</f>
        <v>0.15946111111111097</v>
      </c>
      <c r="D39" s="5">
        <f>'raw averages'!F38</f>
        <v>0.30620000000000003</v>
      </c>
      <c r="E39" s="6">
        <f>'raw averages'!G38</f>
        <v>7.4133333333333301E-2</v>
      </c>
      <c r="F39" s="24">
        <f>SUM('raw averages'!H38:J38)</f>
        <v>0.23698333333333332</v>
      </c>
      <c r="G39" s="25">
        <f>'raw averages'!K38</f>
        <v>9.5176666666666701E-2</v>
      </c>
      <c r="H39" s="26">
        <f>'raw averages'!L38</f>
        <v>8.3133333333333295E-2</v>
      </c>
      <c r="I39" s="24">
        <f>AVERAGE('raw averages'!M38:O38)</f>
        <v>4.1522222222222195E-3</v>
      </c>
      <c r="J39" s="25">
        <f>'raw averages'!P38</f>
        <v>1.06333333333333E-2</v>
      </c>
      <c r="K39" s="26">
        <f>'raw averages'!Q38</f>
        <v>2.20666666666667E-2</v>
      </c>
      <c r="L39" s="24">
        <f>AVERAGE('raw averages'!R38:T38)</f>
        <v>6.3355555555555561E-3</v>
      </c>
      <c r="M39" s="25">
        <f>'raw averages'!U38</f>
        <v>0</v>
      </c>
      <c r="N39" s="39">
        <f>'raw averages'!V38</f>
        <v>1.5E-3</v>
      </c>
    </row>
    <row r="40" spans="1:14" x14ac:dyDescent="0.3">
      <c r="A40" s="7">
        <v>38</v>
      </c>
      <c r="B40" s="7" t="s">
        <v>18</v>
      </c>
      <c r="C40" s="4">
        <f>AVERAGE('raw averages'!C39:E39)</f>
        <v>4.1087777777777799E-2</v>
      </c>
      <c r="D40" s="5">
        <f>'raw averages'!F39</f>
        <v>9.0200000000000002E-2</v>
      </c>
      <c r="E40" s="6">
        <f>'raw averages'!G39</f>
        <v>1.8833333333333299E-2</v>
      </c>
      <c r="F40" s="24">
        <f>SUM('raw averages'!H39:J39)</f>
        <v>3.708000000000003E-2</v>
      </c>
      <c r="G40" s="25">
        <f>'raw averages'!K39</f>
        <v>3.0246666666666699E-2</v>
      </c>
      <c r="H40" s="26">
        <f>'raw averages'!L39</f>
        <v>1.11666666666667E-2</v>
      </c>
      <c r="I40" s="24">
        <f>AVERAGE('raw averages'!M39:O39)</f>
        <v>1.5493333333333366E-2</v>
      </c>
      <c r="J40" s="25">
        <f>'raw averages'!P39</f>
        <v>6.4000000000000003E-3</v>
      </c>
      <c r="K40" s="26">
        <f>'raw averages'!Q39</f>
        <v>4.4400000000000002E-2</v>
      </c>
      <c r="L40" s="24">
        <f>AVERAGE('raw averages'!R39:T39)</f>
        <v>6.1466666666666675E-3</v>
      </c>
      <c r="M40" s="25">
        <f>'raw averages'!U39</f>
        <v>0</v>
      </c>
      <c r="N40" s="39">
        <f>'raw averages'!V39</f>
        <v>3.8999999999999998E-3</v>
      </c>
    </row>
    <row r="41" spans="1:14" x14ac:dyDescent="0.3">
      <c r="A41" s="7">
        <v>39</v>
      </c>
      <c r="B41" s="7" t="s">
        <v>17</v>
      </c>
      <c r="C41" s="4">
        <f>AVERAGE('raw averages'!C40:E40)</f>
        <v>0.21272111111111133</v>
      </c>
      <c r="D41" s="5">
        <f>'raw averages'!F40</f>
        <v>0.23026666666666701</v>
      </c>
      <c r="E41" s="6">
        <f>'raw averages'!G40</f>
        <v>0.107833333333333</v>
      </c>
      <c r="F41" s="24">
        <f>SUM('raw averages'!H40:J40)</f>
        <v>1.0303333333333329E-2</v>
      </c>
      <c r="G41" s="25">
        <f>'raw averages'!K40</f>
        <v>3.5100000000000001E-3</v>
      </c>
      <c r="H41" s="26">
        <f>'raw averages'!L40</f>
        <v>1.4E-3</v>
      </c>
      <c r="I41" s="24">
        <f>AVERAGE('raw averages'!M40:O40)</f>
        <v>4.3922222222222236E-3</v>
      </c>
      <c r="J41" s="25">
        <f>'raw averages'!P40</f>
        <v>6.6666666666666697E-3</v>
      </c>
      <c r="K41" s="26">
        <f>'raw averages'!Q40</f>
        <v>3.4066666666666703E-2</v>
      </c>
      <c r="L41" s="24">
        <f>AVERAGE('raw averages'!R40:T40)</f>
        <v>1.7244444444444434E-3</v>
      </c>
      <c r="M41" s="25">
        <f>'raw averages'!U40</f>
        <v>0</v>
      </c>
      <c r="N41" s="39">
        <f>'raw averages'!V40</f>
        <v>2.9999999999999997E-4</v>
      </c>
    </row>
    <row r="42" spans="1:14" x14ac:dyDescent="0.3">
      <c r="A42" s="7">
        <v>40</v>
      </c>
      <c r="B42" s="7" t="s">
        <v>21</v>
      </c>
      <c r="C42" s="4">
        <f>AVERAGE('raw averages'!C41:E41)</f>
        <v>5.11588888888889E-2</v>
      </c>
      <c r="D42" s="5">
        <f>'raw averages'!F41</f>
        <v>1.2966666666666699E-2</v>
      </c>
      <c r="E42" s="6">
        <f>'raw averages'!G41</f>
        <v>5.8433333333333302E-2</v>
      </c>
      <c r="F42" s="24">
        <f>SUM('raw averages'!H41:J41)</f>
        <v>1.435E-2</v>
      </c>
      <c r="G42" s="25">
        <f>'raw averages'!K41</f>
        <v>0</v>
      </c>
      <c r="H42" s="26">
        <f>'raw averages'!L41</f>
        <v>4.3E-3</v>
      </c>
      <c r="I42" s="24">
        <f>AVERAGE('raw averages'!M41:O41)</f>
        <v>1.2201111111111123E-2</v>
      </c>
      <c r="J42" s="25">
        <f>'raw averages'!P41</f>
        <v>1.9133333333333301E-2</v>
      </c>
      <c r="K42" s="26">
        <f>'raw averages'!Q41</f>
        <v>3.4366666666666698E-2</v>
      </c>
      <c r="L42" s="24">
        <f>AVERAGE('raw averages'!R41:T41)</f>
        <v>4.7444444444444335E-4</v>
      </c>
      <c r="M42" s="25">
        <f>'raw averages'!U41</f>
        <v>0</v>
      </c>
      <c r="N42" s="39">
        <f>'raw averages'!V41</f>
        <v>5.9999999999999995E-4</v>
      </c>
    </row>
    <row r="43" spans="1:14" x14ac:dyDescent="0.3">
      <c r="A43" s="7">
        <v>41</v>
      </c>
      <c r="B43" s="7" t="s">
        <v>38</v>
      </c>
      <c r="C43" s="4">
        <f>AVERAGE('raw averages'!C42:E42)</f>
        <v>0.38387444444444468</v>
      </c>
      <c r="D43" s="5">
        <f>'raw averages'!F42</f>
        <v>0.49809999999999999</v>
      </c>
      <c r="E43" s="6">
        <f>'raw averages'!G42</f>
        <v>0.269666666666667</v>
      </c>
      <c r="F43" s="24">
        <f>SUM('raw averages'!H42:J42)</f>
        <v>3.2666666666666699E-3</v>
      </c>
      <c r="G43" s="25">
        <f>'raw averages'!K42</f>
        <v>0</v>
      </c>
      <c r="H43" s="26">
        <f>'raw averages'!L42</f>
        <v>3.7000000000000002E-3</v>
      </c>
      <c r="I43" s="24">
        <f>AVERAGE('raw averages'!M42:O42)</f>
        <v>3.7411111111111E-3</v>
      </c>
      <c r="J43" s="25">
        <f>'raw averages'!P42</f>
        <v>2.5000000000000001E-3</v>
      </c>
      <c r="K43" s="26">
        <f>'raw averages'!Q42</f>
        <v>1.5933333333333299E-2</v>
      </c>
      <c r="L43" s="24">
        <f>AVERAGE('raw averages'!R42:T42)</f>
        <v>1.0733333333333335E-3</v>
      </c>
      <c r="M43" s="25">
        <f>'raw averages'!U42</f>
        <v>2.5000000000000001E-3</v>
      </c>
      <c r="N43" s="39">
        <f>'raw averages'!V42</f>
        <v>5.9999999999999995E-4</v>
      </c>
    </row>
    <row r="44" spans="1:14" x14ac:dyDescent="0.3">
      <c r="A44" s="7">
        <v>42</v>
      </c>
      <c r="B44" s="7" t="s">
        <v>46</v>
      </c>
      <c r="C44" s="4">
        <f>AVERAGE('raw averages'!C43:E43)</f>
        <v>2.1426666666666632E-2</v>
      </c>
      <c r="D44" s="5">
        <f>'raw averages'!F43</f>
        <v>3.6266666666666697E-2</v>
      </c>
      <c r="E44" s="6">
        <f>'raw averages'!G43</f>
        <v>1.96666666666667E-2</v>
      </c>
      <c r="F44" s="24">
        <f>SUM('raw averages'!H43:J43)</f>
        <v>0.49722666666666698</v>
      </c>
      <c r="G44" s="25">
        <f>'raw averages'!K43</f>
        <v>0.27787000000000001</v>
      </c>
      <c r="H44" s="26">
        <f>'raw averages'!L43</f>
        <v>8.3900000000000002E-2</v>
      </c>
      <c r="I44" s="24">
        <f>AVERAGE('raw averages'!M43:O43)</f>
        <v>7.515555555555567E-3</v>
      </c>
      <c r="J44" s="25">
        <f>'raw averages'!P43</f>
        <v>4.0466666666666699E-2</v>
      </c>
      <c r="K44" s="26">
        <f>'raw averages'!Q43</f>
        <v>1.44333333333333E-2</v>
      </c>
      <c r="L44" s="24">
        <f>AVERAGE('raw averages'!R43:T43)</f>
        <v>2.1635555555555543E-2</v>
      </c>
      <c r="M44" s="25">
        <f>'raw averages'!U43</f>
        <v>0</v>
      </c>
      <c r="N44" s="39">
        <f>'raw averages'!V43</f>
        <v>5.0000000000000001E-4</v>
      </c>
    </row>
    <row r="45" spans="1:14" x14ac:dyDescent="0.3">
      <c r="A45" s="7">
        <v>43</v>
      </c>
      <c r="B45" s="7" t="s">
        <v>42</v>
      </c>
      <c r="C45" s="4">
        <f>AVERAGE('raw averages'!C44:E44)</f>
        <v>0.26088222222222229</v>
      </c>
      <c r="D45" s="5">
        <f>'raw averages'!F44</f>
        <v>0.34920000000000001</v>
      </c>
      <c r="E45" s="6">
        <f>'raw averages'!G44</f>
        <v>0.1678</v>
      </c>
      <c r="F45" s="24">
        <f>SUM('raw averages'!H44:J44)</f>
        <v>5.0533333333333298E-3</v>
      </c>
      <c r="G45" s="25">
        <f>'raw averages'!K44</f>
        <v>0</v>
      </c>
      <c r="H45" s="26">
        <f>'raw averages'!L44</f>
        <v>2.7333333333333298E-3</v>
      </c>
      <c r="I45" s="24">
        <f>AVERAGE('raw averages'!M44:O44)</f>
        <v>8.7600000000000126E-3</v>
      </c>
      <c r="J45" s="25">
        <f>'raw averages'!P44</f>
        <v>0</v>
      </c>
      <c r="K45" s="26">
        <f>'raw averages'!Q44</f>
        <v>1.7433333333333301E-2</v>
      </c>
      <c r="L45" s="24">
        <f>AVERAGE('raw averages'!R44:T44)</f>
        <v>0</v>
      </c>
      <c r="M45" s="25">
        <f>'raw averages'!U44</f>
        <v>0</v>
      </c>
      <c r="N45" s="39">
        <f>'raw averages'!V44</f>
        <v>5.0000000000000001E-4</v>
      </c>
    </row>
    <row r="46" spans="1:14" x14ac:dyDescent="0.3">
      <c r="A46" s="7">
        <v>44</v>
      </c>
      <c r="B46" s="7" t="s">
        <v>13</v>
      </c>
      <c r="C46" s="4">
        <f>AVERAGE('raw averages'!C45:E45)</f>
        <v>0.21918777777777798</v>
      </c>
      <c r="D46" s="5">
        <f>'raw averages'!F45</f>
        <v>0.252533333333333</v>
      </c>
      <c r="E46" s="6">
        <f>'raw averages'!G45</f>
        <v>0.118333333333333</v>
      </c>
      <c r="F46" s="24">
        <f>SUM('raw averages'!H45:J45)</f>
        <v>1.615666666666667E-2</v>
      </c>
      <c r="G46" s="25">
        <f>'raw averages'!K45</f>
        <v>9.6500000000000006E-3</v>
      </c>
      <c r="H46" s="26">
        <f>'raw averages'!L45</f>
        <v>3.2000000000000002E-3</v>
      </c>
      <c r="I46" s="24">
        <f>AVERAGE('raw averages'!M45:O45)</f>
        <v>1.0047777777777789E-2</v>
      </c>
      <c r="J46" s="25">
        <f>'raw averages'!P45</f>
        <v>2.6499999999999999E-2</v>
      </c>
      <c r="K46" s="26">
        <f>'raw averages'!Q45</f>
        <v>4.7166666666666697E-2</v>
      </c>
      <c r="L46" s="24">
        <f>AVERAGE('raw averages'!R45:T45)</f>
        <v>1.4777777777777799E-3</v>
      </c>
      <c r="M46" s="25">
        <f>'raw averages'!U45</f>
        <v>0</v>
      </c>
      <c r="N46" s="39">
        <f>'raw averages'!V45</f>
        <v>8.0000000000000004E-4</v>
      </c>
    </row>
    <row r="47" spans="1:14" x14ac:dyDescent="0.3">
      <c r="A47" s="7">
        <v>45</v>
      </c>
      <c r="B47" s="7" t="s">
        <v>31</v>
      </c>
      <c r="C47" s="4">
        <f>AVERAGE('raw averages'!C46:E46)</f>
        <v>2.3653333333333332E-2</v>
      </c>
      <c r="D47" s="5">
        <f>'raw averages'!F46</f>
        <v>1.8833333333333299E-2</v>
      </c>
      <c r="E47" s="6">
        <f>'raw averages'!G46</f>
        <v>1.07666666666667E-2</v>
      </c>
      <c r="F47" s="24">
        <f>SUM('raw averages'!H46:J46)</f>
        <v>2.390333333333337E-2</v>
      </c>
      <c r="G47" s="25">
        <f>'raw averages'!K46</f>
        <v>8.8199999999999997E-3</v>
      </c>
      <c r="H47" s="26">
        <f>'raw averages'!L46</f>
        <v>9.5333333333333294E-3</v>
      </c>
      <c r="I47" s="24">
        <f>AVERAGE('raw averages'!M46:O46)</f>
        <v>6.5066666666666667E-3</v>
      </c>
      <c r="J47" s="25">
        <f>'raw averages'!P46</f>
        <v>6.9333333333333304E-3</v>
      </c>
      <c r="K47" s="26">
        <f>'raw averages'!Q46</f>
        <v>2.3633333333333301E-2</v>
      </c>
      <c r="L47" s="24">
        <f>AVERAGE('raw averages'!R46:T46)</f>
        <v>7.3177777777777798E-3</v>
      </c>
      <c r="M47" s="25">
        <f>'raw averages'!U46</f>
        <v>3.2333333333333298E-3</v>
      </c>
      <c r="N47" s="39">
        <f>'raw averages'!V46</f>
        <v>9.4000000000000004E-3</v>
      </c>
    </row>
    <row r="48" spans="1:14" x14ac:dyDescent="0.3">
      <c r="A48" s="7">
        <v>46</v>
      </c>
      <c r="B48" s="7" t="s">
        <v>37</v>
      </c>
      <c r="C48" s="4">
        <f>AVERAGE('raw averages'!C47:E47)</f>
        <v>3.4923333333333334E-2</v>
      </c>
      <c r="D48" s="5">
        <f>'raw averages'!F47</f>
        <v>6.9666666666666696E-2</v>
      </c>
      <c r="E48" s="6">
        <f>'raw averages'!G47</f>
        <v>1.21333333333333E-2</v>
      </c>
      <c r="F48" s="24">
        <f>SUM('raw averages'!H47:J47)</f>
        <v>1.6573333333333332E-2</v>
      </c>
      <c r="G48" s="25">
        <f>'raw averages'!K47</f>
        <v>7.09333333333333E-3</v>
      </c>
      <c r="H48" s="26">
        <f>'raw averages'!L47</f>
        <v>3.2333333333333298E-3</v>
      </c>
      <c r="I48" s="24">
        <f>AVERAGE('raw averages'!M47:O47)</f>
        <v>5.1722222222222334E-3</v>
      </c>
      <c r="J48" s="25">
        <f>'raw averages'!P47</f>
        <v>0</v>
      </c>
      <c r="K48" s="26">
        <f>'raw averages'!Q47</f>
        <v>1.7633333333333299E-2</v>
      </c>
      <c r="L48" s="24">
        <f>AVERAGE('raw averages'!R47:T47)</f>
        <v>8.1444444444444327E-4</v>
      </c>
      <c r="M48" s="25">
        <f>'raw averages'!U47</f>
        <v>7.1000000000000004E-3</v>
      </c>
      <c r="N48" s="39">
        <f>'raw averages'!V47</f>
        <v>2.9999999999999997E-4</v>
      </c>
    </row>
    <row r="49" spans="1:14" x14ac:dyDescent="0.3">
      <c r="A49" s="7">
        <v>47</v>
      </c>
      <c r="B49" s="7" t="s">
        <v>7</v>
      </c>
      <c r="C49" s="4">
        <f>AVERAGE('raw averages'!C48:E48)</f>
        <v>0.2894733333333333</v>
      </c>
      <c r="D49" s="5">
        <f>'raw averages'!F48</f>
        <v>0.48966666666666703</v>
      </c>
      <c r="E49" s="6">
        <f>'raw averages'!G48</f>
        <v>0.19083333333333299</v>
      </c>
      <c r="F49" s="24">
        <f>SUM('raw averages'!H48:J48)</f>
        <v>1.6466666666666671E-2</v>
      </c>
      <c r="G49" s="25">
        <f>'raw averages'!K48</f>
        <v>0</v>
      </c>
      <c r="H49" s="26">
        <f>'raw averages'!L48</f>
        <v>2.5999999999999999E-3</v>
      </c>
      <c r="I49" s="24">
        <f>AVERAGE('raw averages'!M48:O48)</f>
        <v>1.3050000000000001E-2</v>
      </c>
      <c r="J49" s="25">
        <f>'raw averages'!P48</f>
        <v>1.7133333333333299E-2</v>
      </c>
      <c r="K49" s="26">
        <f>'raw averages'!Q48</f>
        <v>6.4733333333333296E-2</v>
      </c>
      <c r="L49" s="24">
        <f>AVERAGE('raw averages'!R48:T48)</f>
        <v>0</v>
      </c>
      <c r="M49" s="25">
        <f>'raw averages'!U48</f>
        <v>3.63333333333333E-3</v>
      </c>
      <c r="N49" s="39">
        <f>'raw averages'!V48</f>
        <v>6.9999999999999999E-4</v>
      </c>
    </row>
    <row r="50" spans="1:14" x14ac:dyDescent="0.3">
      <c r="A50" s="7">
        <v>48</v>
      </c>
      <c r="B50" s="7" t="s">
        <v>5</v>
      </c>
      <c r="C50" s="4">
        <f>AVERAGE('raw averages'!C49:E49)</f>
        <v>9.7955555555555671E-2</v>
      </c>
      <c r="D50" s="5">
        <f>'raw averages'!F49</f>
        <v>0.191766666666667</v>
      </c>
      <c r="E50" s="6">
        <f>'raw averages'!G49</f>
        <v>3.7999999999999999E-2</v>
      </c>
      <c r="F50" s="24">
        <f>SUM('raw averages'!H49:J49)</f>
        <v>7.5670000000000001E-2</v>
      </c>
      <c r="G50" s="25">
        <f>'raw averages'!K49</f>
        <v>5.0200000000000002E-2</v>
      </c>
      <c r="H50" s="26">
        <f>'raw averages'!L49</f>
        <v>1.29E-2</v>
      </c>
      <c r="I50" s="24">
        <f>AVERAGE('raw averages'!M49:O49)</f>
        <v>1.9858888888888902E-2</v>
      </c>
      <c r="J50" s="25">
        <f>'raw averages'!P49</f>
        <v>3.4166666666666699E-2</v>
      </c>
      <c r="K50" s="26">
        <f>'raw averages'!Q49</f>
        <v>8.5300000000000001E-2</v>
      </c>
      <c r="L50" s="24">
        <f>AVERAGE('raw averages'!R49:T49)</f>
        <v>6.5155555555555427E-3</v>
      </c>
      <c r="M50" s="25">
        <f>'raw averages'!U49</f>
        <v>9.9333333333333305E-3</v>
      </c>
      <c r="N50" s="39">
        <f>'raw averages'!V49</f>
        <v>6.7333333333333299E-3</v>
      </c>
    </row>
    <row r="51" spans="1:14" x14ac:dyDescent="0.3">
      <c r="A51" s="7">
        <v>49</v>
      </c>
      <c r="B51" s="7" t="s">
        <v>44</v>
      </c>
      <c r="C51" s="4">
        <f>AVERAGE('raw averages'!C50:E50)</f>
        <v>9.5963333333333234E-2</v>
      </c>
      <c r="D51" s="5">
        <f>'raw averages'!F50</f>
        <v>0.10050000000000001</v>
      </c>
      <c r="E51" s="6">
        <f>'raw averages'!G50</f>
        <v>3.4700000000000002E-2</v>
      </c>
      <c r="F51" s="24">
        <f>SUM('raw averages'!H50:J50)</f>
        <v>5.2690000000000001E-2</v>
      </c>
      <c r="G51" s="25">
        <f>'raw averages'!K50</f>
        <v>0</v>
      </c>
      <c r="H51" s="26">
        <f>'raw averages'!L50</f>
        <v>2.0999999999999999E-3</v>
      </c>
      <c r="I51" s="24">
        <f>AVERAGE('raw averages'!M50:O50)</f>
        <v>0</v>
      </c>
      <c r="J51" s="25">
        <f>'raw averages'!P50</f>
        <v>0</v>
      </c>
      <c r="K51" s="26">
        <f>'raw averages'!Q50</f>
        <v>8.2000000000000007E-3</v>
      </c>
      <c r="L51" s="24">
        <f>AVERAGE('raw averages'!R50:T50)</f>
        <v>2.1366666666666665E-3</v>
      </c>
      <c r="M51" s="25">
        <f>'raw averages'!U50</f>
        <v>0</v>
      </c>
      <c r="N51" s="39">
        <f>'raw averages'!V50</f>
        <v>2.0000000000000001E-4</v>
      </c>
    </row>
    <row r="52" spans="1:14" x14ac:dyDescent="0.3">
      <c r="A52" s="7">
        <v>50</v>
      </c>
      <c r="B52" s="7" t="s">
        <v>34</v>
      </c>
      <c r="C52" s="4">
        <f>AVERAGE('raw averages'!C51:E51)</f>
        <v>0.19783999999999999</v>
      </c>
      <c r="D52" s="5">
        <f>'raw averages'!F51</f>
        <v>0.25073333333333298</v>
      </c>
      <c r="E52" s="6">
        <f>'raw averages'!G51</f>
        <v>6.3600000000000004E-2</v>
      </c>
      <c r="F52" s="24">
        <f>SUM('raw averages'!H51:J51)</f>
        <v>3.5019999999999996E-2</v>
      </c>
      <c r="G52" s="25">
        <f>'raw averages'!K51</f>
        <v>1.3813333333333301E-2</v>
      </c>
      <c r="H52" s="26">
        <f>'raw averages'!L51</f>
        <v>8.8333333333333302E-3</v>
      </c>
      <c r="I52" s="24">
        <f>AVERAGE('raw averages'!M51:O51)</f>
        <v>1.4170000000000023E-2</v>
      </c>
      <c r="J52" s="25">
        <f>'raw averages'!P51</f>
        <v>3.5333333333333302E-3</v>
      </c>
      <c r="K52" s="26">
        <f>'raw averages'!Q51</f>
        <v>2.82666666666667E-2</v>
      </c>
      <c r="L52" s="24">
        <f>AVERAGE('raw averages'!R51:T51)</f>
        <v>6.2525555555555667E-2</v>
      </c>
      <c r="M52" s="25">
        <f>'raw averages'!U51</f>
        <v>3.46666666666667E-3</v>
      </c>
      <c r="N52" s="39">
        <f>'raw averages'!V51</f>
        <v>3.66666666666667E-4</v>
      </c>
    </row>
    <row r="53" spans="1:14" x14ac:dyDescent="0.3">
      <c r="A53" s="27">
        <v>51</v>
      </c>
      <c r="B53" s="27" t="s">
        <v>50</v>
      </c>
      <c r="C53" s="4">
        <f>AVERAGE('raw averages'!C52:E52)</f>
        <v>2.439333333333335E-2</v>
      </c>
      <c r="D53" s="5">
        <f>'raw averages'!F52</f>
        <v>2.77666666666667E-2</v>
      </c>
      <c r="E53" s="6">
        <f>'raw averages'!G52</f>
        <v>1.12E-2</v>
      </c>
      <c r="F53" s="24">
        <f>SUM('raw averages'!H52:J52)</f>
        <v>0.2081466666666667</v>
      </c>
      <c r="G53" s="25">
        <f>'raw averages'!K52</f>
        <v>2.7776666666666699E-2</v>
      </c>
      <c r="H53" s="26">
        <f>'raw averages'!L52</f>
        <v>2.1100000000000001E-2</v>
      </c>
      <c r="I53" s="24">
        <f>AVERAGE('raw averages'!M52:O52)</f>
        <v>1.0541111111111098E-2</v>
      </c>
      <c r="J53" s="25">
        <f>'raw averages'!P52</f>
        <v>1.8533333333333301E-2</v>
      </c>
      <c r="K53" s="26">
        <f>'raw averages'!Q52</f>
        <v>9.2333333333333295E-3</v>
      </c>
      <c r="L53" s="24">
        <f>AVERAGE('raw averages'!R52:T52)</f>
        <v>9.4922222222222231E-3</v>
      </c>
      <c r="M53" s="25">
        <f>'raw averages'!U52</f>
        <v>0</v>
      </c>
      <c r="N53" s="39">
        <f>'raw averages'!V52</f>
        <v>6.9999999999999999E-4</v>
      </c>
    </row>
  </sheetData>
  <autoFilter ref="B2:N2">
    <sortState xmlns:xlrd2="http://schemas.microsoft.com/office/spreadsheetml/2017/richdata2" ref="B4:N53">
      <sortCondition ref="B2"/>
    </sortState>
  </autoFilter>
  <mergeCells count="6">
    <mergeCell ref="C1:E1"/>
    <mergeCell ref="F1:H1"/>
    <mergeCell ref="I1:K1"/>
    <mergeCell ref="L1:N1"/>
    <mergeCell ref="A1:A2"/>
    <mergeCell ref="B1:B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4"/>
  <sheetViews>
    <sheetView workbookViewId="0">
      <selection activeCell="G1" sqref="A1:XFD1"/>
    </sheetView>
  </sheetViews>
  <sheetFormatPr defaultRowHeight="14.4" x14ac:dyDescent="0.3"/>
  <cols>
    <col min="1" max="1" width="5" bestFit="1" customWidth="1"/>
    <col min="2" max="2" width="14" customWidth="1"/>
    <col min="7" max="7" width="1.109375" customWidth="1"/>
    <col min="12" max="12" width="0.88671875" customWidth="1"/>
    <col min="17" max="17" width="0.88671875" customWidth="1"/>
  </cols>
  <sheetData>
    <row r="1" spans="1:21" x14ac:dyDescent="0.3">
      <c r="A1" s="30" t="s">
        <v>54</v>
      </c>
      <c r="B1" s="34" t="s">
        <v>0</v>
      </c>
      <c r="C1" s="19" t="s">
        <v>52</v>
      </c>
      <c r="D1" s="13"/>
      <c r="E1" s="13"/>
      <c r="F1" s="20"/>
      <c r="G1" s="36"/>
      <c r="H1" s="12" t="s">
        <v>53</v>
      </c>
      <c r="I1" s="13"/>
      <c r="J1" s="13"/>
      <c r="K1" s="14"/>
      <c r="L1" s="36"/>
      <c r="M1" s="12" t="s">
        <v>55</v>
      </c>
      <c r="N1" s="13"/>
      <c r="O1" s="13"/>
      <c r="P1" s="14"/>
      <c r="Q1" s="36"/>
      <c r="R1" s="19" t="s">
        <v>56</v>
      </c>
      <c r="S1" s="13"/>
      <c r="T1" s="13"/>
      <c r="U1" s="20"/>
    </row>
    <row r="2" spans="1:21" s="10" customFormat="1" ht="28.8" x14ac:dyDescent="0.3">
      <c r="A2" s="32"/>
      <c r="B2" s="35"/>
      <c r="C2" s="15" t="s">
        <v>59</v>
      </c>
      <c r="D2" s="11" t="s">
        <v>60</v>
      </c>
      <c r="E2" s="11" t="s">
        <v>57</v>
      </c>
      <c r="F2" s="11" t="s">
        <v>58</v>
      </c>
      <c r="G2" s="37"/>
      <c r="H2" s="17" t="s">
        <v>59</v>
      </c>
      <c r="I2" s="11" t="s">
        <v>60</v>
      </c>
      <c r="J2" s="11" t="s">
        <v>57</v>
      </c>
      <c r="K2" s="11" t="s">
        <v>58</v>
      </c>
      <c r="L2" s="37"/>
      <c r="M2" s="17" t="s">
        <v>59</v>
      </c>
      <c r="N2" s="11" t="s">
        <v>60</v>
      </c>
      <c r="O2" s="11" t="s">
        <v>57</v>
      </c>
      <c r="P2" s="11" t="s">
        <v>58</v>
      </c>
      <c r="Q2" s="37"/>
      <c r="R2" s="17" t="s">
        <v>59</v>
      </c>
      <c r="S2" s="11" t="s">
        <v>60</v>
      </c>
      <c r="T2" s="11" t="s">
        <v>57</v>
      </c>
      <c r="U2" s="21" t="s">
        <v>58</v>
      </c>
    </row>
    <row r="3" spans="1:21" x14ac:dyDescent="0.3">
      <c r="A3" s="3">
        <v>1</v>
      </c>
      <c r="B3" t="s">
        <v>41</v>
      </c>
      <c r="C3" s="16">
        <v>0.14677000000000029</v>
      </c>
      <c r="D3" s="16">
        <v>6.2099999999999989E-2</v>
      </c>
      <c r="E3" s="16">
        <v>1.55447676615036</v>
      </c>
      <c r="F3" s="6">
        <v>1.2346052134491878</v>
      </c>
      <c r="G3" s="18"/>
      <c r="H3" s="16">
        <v>-7.6999999999999985E-4</v>
      </c>
      <c r="I3" s="6">
        <v>-5.5999999999999999E-3</v>
      </c>
      <c r="J3" s="16">
        <v>0.86250000000000004</v>
      </c>
      <c r="K3" s="6">
        <v>0</v>
      </c>
      <c r="L3" s="18"/>
      <c r="M3" s="16">
        <v>-9.8922222222222571E-3</v>
      </c>
      <c r="N3" s="6">
        <v>-2.0666666666666993E-3</v>
      </c>
      <c r="O3" s="16">
        <v>0.29172633253778757</v>
      </c>
      <c r="P3" s="6">
        <v>0.85202863961813646</v>
      </c>
      <c r="Q3" s="18"/>
      <c r="R3" s="16">
        <v>-5.0000000000000001E-4</v>
      </c>
      <c r="S3" s="6">
        <v>0.18390000000000001</v>
      </c>
      <c r="T3" s="6">
        <v>0</v>
      </c>
      <c r="U3" s="22">
        <v>368.8</v>
      </c>
    </row>
    <row r="4" spans="1:21" x14ac:dyDescent="0.3">
      <c r="A4" s="3">
        <v>2</v>
      </c>
      <c r="B4" t="s">
        <v>9</v>
      </c>
      <c r="C4" s="16">
        <v>1.7270000000000035E-2</v>
      </c>
      <c r="D4" s="16">
        <v>7.9733333333333711E-2</v>
      </c>
      <c r="E4" s="16">
        <v>1.519658976930794</v>
      </c>
      <c r="F4" s="6">
        <v>1.719956694334176</v>
      </c>
      <c r="G4" s="18"/>
      <c r="H4" s="16">
        <v>6.0433333333333398E-3</v>
      </c>
      <c r="I4" s="6">
        <v>-2.0333333333333301E-3</v>
      </c>
      <c r="J4" s="16">
        <v>3.9721311475409911</v>
      </c>
      <c r="K4" s="6">
        <v>0</v>
      </c>
      <c r="L4" s="18"/>
      <c r="M4" s="16">
        <v>-3.8857777777777811E-2</v>
      </c>
      <c r="N4" s="6">
        <v>-4.0566666666666702E-2</v>
      </c>
      <c r="O4" s="16">
        <v>4.212544508353875E-2</v>
      </c>
      <c r="P4" s="6">
        <v>0</v>
      </c>
      <c r="Q4" s="18"/>
      <c r="R4" s="16">
        <v>5.1666666666666625E-4</v>
      </c>
      <c r="S4" s="6">
        <v>-4.6666666666666699E-4</v>
      </c>
      <c r="T4" s="6">
        <v>2.1071428571428554</v>
      </c>
      <c r="U4" s="22">
        <v>0</v>
      </c>
    </row>
    <row r="5" spans="1:21" x14ac:dyDescent="0.3">
      <c r="A5" s="3">
        <v>3</v>
      </c>
      <c r="B5" t="s">
        <v>26</v>
      </c>
      <c r="C5" s="16">
        <v>4.4410000000000033E-2</v>
      </c>
      <c r="D5" s="16">
        <v>9.2166666666666688E-2</v>
      </c>
      <c r="E5" s="16">
        <v>2.0515390686661421</v>
      </c>
      <c r="F5" s="6">
        <v>2.5381745120551193</v>
      </c>
      <c r="G5" s="18"/>
      <c r="H5" s="16">
        <v>2.5076666666666692E-2</v>
      </c>
      <c r="I5" s="6">
        <v>7.196666666666629E-3</v>
      </c>
      <c r="J5" s="16">
        <v>6.8773437500000005</v>
      </c>
      <c r="K5" s="6">
        <v>2.6867187499999896</v>
      </c>
      <c r="L5" s="18"/>
      <c r="M5" s="16">
        <v>-1.614888888888889E-2</v>
      </c>
      <c r="N5" s="6">
        <v>-2.3999999999999994E-3</v>
      </c>
      <c r="O5" s="16">
        <v>0.18025944726452339</v>
      </c>
      <c r="P5" s="6">
        <v>0.87817258883248739</v>
      </c>
      <c r="Q5" s="18"/>
      <c r="R5" s="16">
        <v>2.6222222222222337E-4</v>
      </c>
      <c r="S5" s="6">
        <v>-1.1999999999999999E-3</v>
      </c>
      <c r="T5" s="6">
        <v>1.2185185185185194</v>
      </c>
      <c r="U5" s="22">
        <v>0</v>
      </c>
    </row>
    <row r="6" spans="1:21" x14ac:dyDescent="0.3">
      <c r="A6" s="3">
        <v>4</v>
      </c>
      <c r="B6" t="s">
        <v>40</v>
      </c>
      <c r="C6" s="16">
        <v>0.1420055555555553</v>
      </c>
      <c r="D6" s="16">
        <v>0.31540000000000001</v>
      </c>
      <c r="E6" s="16">
        <v>1.9199237025840314</v>
      </c>
      <c r="F6" s="6">
        <v>0.22190530519110163</v>
      </c>
      <c r="G6" s="18"/>
      <c r="H6" s="16">
        <v>1.005E-2</v>
      </c>
      <c r="I6" s="6">
        <v>-4.3E-3</v>
      </c>
      <c r="J6" s="16">
        <v>3.3372093023255816</v>
      </c>
      <c r="K6" s="6">
        <v>0</v>
      </c>
      <c r="L6" s="18"/>
      <c r="M6" s="16">
        <v>-2.2165555555555577E-2</v>
      </c>
      <c r="N6" s="6">
        <v>-1.5233333333333397E-2</v>
      </c>
      <c r="O6" s="16">
        <v>0.35502748140963469</v>
      </c>
      <c r="P6" s="6">
        <v>0.55674102812802961</v>
      </c>
      <c r="Q6" s="18"/>
      <c r="R6" s="16">
        <v>-1.255555555555566E-4</v>
      </c>
      <c r="S6" s="6">
        <v>-5.9999999999999995E-4</v>
      </c>
      <c r="T6" s="6">
        <v>0.79074074074073897</v>
      </c>
      <c r="U6" s="22">
        <v>0</v>
      </c>
    </row>
    <row r="7" spans="1:21" x14ac:dyDescent="0.3">
      <c r="A7" s="3">
        <v>5</v>
      </c>
      <c r="B7" t="s">
        <v>2</v>
      </c>
      <c r="C7" s="16">
        <v>8.0648888888888937E-2</v>
      </c>
      <c r="D7" s="16">
        <v>0.1713333333333337</v>
      </c>
      <c r="E7" s="16">
        <v>2.4265723270440271</v>
      </c>
      <c r="F7" s="6">
        <v>3.3991975927783482</v>
      </c>
      <c r="G7" s="18"/>
      <c r="H7" s="16">
        <v>0.35471999999999904</v>
      </c>
      <c r="I7" s="6">
        <v>-4.1266666666670004E-3</v>
      </c>
      <c r="J7" s="16">
        <v>3.4485964104923941</v>
      </c>
      <c r="K7" s="6">
        <v>0.97151403589507368</v>
      </c>
      <c r="L7" s="18"/>
      <c r="M7" s="16">
        <v>-4.44011111111111E-2</v>
      </c>
      <c r="N7" s="6">
        <v>-6.1533333333333301E-2</v>
      </c>
      <c r="O7" s="16">
        <v>0.27842181292885493</v>
      </c>
      <c r="P7" s="6">
        <v>0</v>
      </c>
      <c r="Q7" s="18"/>
      <c r="R7" s="16">
        <v>9.7274444444444538E-2</v>
      </c>
      <c r="S7" s="6">
        <v>-1.25666666666667E-2</v>
      </c>
      <c r="T7" s="6">
        <v>8.7406719717064405</v>
      </c>
      <c r="U7" s="22">
        <v>0</v>
      </c>
    </row>
    <row r="8" spans="1:21" x14ac:dyDescent="0.3">
      <c r="A8" s="3">
        <v>6</v>
      </c>
      <c r="B8" t="s">
        <v>19</v>
      </c>
      <c r="C8" s="16">
        <v>0.10895111111111125</v>
      </c>
      <c r="D8" s="16">
        <v>8.8300000000000017E-2</v>
      </c>
      <c r="E8" s="16">
        <v>3.7306042884990287</v>
      </c>
      <c r="F8" s="6">
        <v>1.4149730402322682</v>
      </c>
      <c r="G8" s="18"/>
      <c r="H8" s="16">
        <v>1.435000000000004E-2</v>
      </c>
      <c r="I8" s="6">
        <v>1.1630000000000001E-2</v>
      </c>
      <c r="J8" s="16">
        <v>3.2421875000000058</v>
      </c>
      <c r="K8" s="6">
        <v>2.8171875000000002</v>
      </c>
      <c r="L8" s="18"/>
      <c r="M8" s="16">
        <v>-1.3216666666666634E-2</v>
      </c>
      <c r="N8" s="6">
        <v>-9.3999999999999691E-3</v>
      </c>
      <c r="O8" s="16">
        <v>0.22859922178988371</v>
      </c>
      <c r="P8" s="6">
        <v>0.45136186770428088</v>
      </c>
      <c r="Q8" s="18"/>
      <c r="R8" s="16">
        <v>4.8222222222222335E-4</v>
      </c>
      <c r="S8" s="6">
        <v>-4.0000000000000002E-4</v>
      </c>
      <c r="T8" s="6">
        <v>2.2055555555555584</v>
      </c>
      <c r="U8" s="22">
        <v>0</v>
      </c>
    </row>
    <row r="9" spans="1:21" x14ac:dyDescent="0.3">
      <c r="A9" s="3">
        <v>7</v>
      </c>
      <c r="B9" t="s">
        <v>12</v>
      </c>
      <c r="C9" s="16">
        <v>2.4840000000000112E-2</v>
      </c>
      <c r="D9" s="16">
        <v>3.5000000000000003E-2</v>
      </c>
      <c r="E9" s="16">
        <v>1.2476570289132614</v>
      </c>
      <c r="F9" s="6">
        <v>0.52512998266897837</v>
      </c>
      <c r="G9" s="18"/>
      <c r="H9" s="16">
        <v>7.2333333333334015E-4</v>
      </c>
      <c r="I9" s="6">
        <v>-2.13333333333333E-3</v>
      </c>
      <c r="J9" s="16">
        <v>1.3390625000000038</v>
      </c>
      <c r="K9" s="6">
        <v>0</v>
      </c>
      <c r="L9" s="18"/>
      <c r="M9" s="16">
        <v>-0.20211666666666631</v>
      </c>
      <c r="N9" s="6">
        <v>-0.17306666666666598</v>
      </c>
      <c r="O9" s="16">
        <v>0.44630627339968998</v>
      </c>
      <c r="P9" s="6">
        <v>0.52588804675372258</v>
      </c>
      <c r="Q9" s="18"/>
      <c r="R9" s="16">
        <v>8.1277777777777754E-3</v>
      </c>
      <c r="S9" s="6">
        <v>-4.7800000000000009E-2</v>
      </c>
      <c r="T9" s="6">
        <v>1.085826586882553</v>
      </c>
      <c r="U9" s="22">
        <v>0.49524815205913403</v>
      </c>
    </row>
    <row r="10" spans="1:21" x14ac:dyDescent="0.3">
      <c r="A10" s="3">
        <v>8</v>
      </c>
      <c r="B10" t="s">
        <v>15</v>
      </c>
      <c r="C10" s="16">
        <v>0.13101777777777771</v>
      </c>
      <c r="D10" s="16">
        <v>0.19243333333333298</v>
      </c>
      <c r="E10" s="16">
        <v>1.6063766327265234</v>
      </c>
      <c r="F10" s="6">
        <v>2.0131766381766347</v>
      </c>
      <c r="G10" s="18"/>
      <c r="H10" s="16">
        <v>-2.9333333333332991E-4</v>
      </c>
      <c r="I10" s="6">
        <v>-2.3E-3</v>
      </c>
      <c r="J10" s="16">
        <v>0.87246376811594351</v>
      </c>
      <c r="K10" s="6">
        <v>0</v>
      </c>
      <c r="L10" s="18"/>
      <c r="M10" s="16">
        <v>-2.1411111111111141E-2</v>
      </c>
      <c r="N10" s="6">
        <v>-6.3E-3</v>
      </c>
      <c r="O10" s="16">
        <v>3.4085213032581455E-2</v>
      </c>
      <c r="P10" s="6">
        <v>0.71578947368421098</v>
      </c>
      <c r="Q10" s="18"/>
      <c r="R10" s="16">
        <v>-3.33333333333333E-4</v>
      </c>
      <c r="S10" s="6">
        <v>-3.33333333333333E-4</v>
      </c>
      <c r="T10" s="6">
        <v>0</v>
      </c>
      <c r="U10" s="22">
        <v>0</v>
      </c>
    </row>
    <row r="11" spans="1:21" x14ac:dyDescent="0.3">
      <c r="A11" s="3">
        <v>9</v>
      </c>
      <c r="B11" t="s">
        <v>11</v>
      </c>
      <c r="C11" s="16">
        <v>0.39796777777777803</v>
      </c>
      <c r="D11" s="16">
        <v>0.33250000000000002</v>
      </c>
      <c r="E11" s="16">
        <v>1.8617129796703971</v>
      </c>
      <c r="F11" s="6">
        <v>1.3010695187165764</v>
      </c>
      <c r="G11" s="18"/>
      <c r="H11" s="16">
        <v>9.486666666666671E-3</v>
      </c>
      <c r="I11" s="6">
        <v>3.7533333333333299E-3</v>
      </c>
      <c r="J11" s="16">
        <v>5.1246376811594221</v>
      </c>
      <c r="K11" s="6">
        <v>2.6318840579710132</v>
      </c>
      <c r="L11" s="18"/>
      <c r="M11" s="16">
        <v>-3.1015555555555588E-2</v>
      </c>
      <c r="N11" s="6">
        <v>-1.6066666666666701E-2</v>
      </c>
      <c r="O11" s="16">
        <v>0.22201783723522839</v>
      </c>
      <c r="P11" s="6">
        <v>0.59698996655518344</v>
      </c>
      <c r="Q11" s="18"/>
      <c r="R11" s="16">
        <v>1.1922222222222234E-3</v>
      </c>
      <c r="S11" s="6">
        <v>-5.9999999999999995E-4</v>
      </c>
      <c r="T11" s="6">
        <v>2.9870370370370396</v>
      </c>
      <c r="U11" s="22">
        <v>0</v>
      </c>
    </row>
    <row r="12" spans="1:21" x14ac:dyDescent="0.3">
      <c r="A12" s="3">
        <v>10</v>
      </c>
      <c r="B12" t="s">
        <v>27</v>
      </c>
      <c r="C12" s="16">
        <v>5.4226666666667006E-2</v>
      </c>
      <c r="D12" s="16">
        <v>0.10759999999999997</v>
      </c>
      <c r="E12" s="16">
        <v>1.3482020547945235</v>
      </c>
      <c r="F12" s="6">
        <v>2.8636363636363655</v>
      </c>
      <c r="G12" s="18"/>
      <c r="H12" s="16">
        <v>0.26800000000000002</v>
      </c>
      <c r="I12" s="6">
        <v>4.1850000000000005E-2</v>
      </c>
      <c r="J12" s="16">
        <v>5.3719412724306697</v>
      </c>
      <c r="K12" s="6">
        <v>1.6827079934747147</v>
      </c>
      <c r="L12" s="18"/>
      <c r="M12" s="16">
        <v>-6.9088888888888863E-3</v>
      </c>
      <c r="N12" s="6">
        <v>-3.4333333333333299E-3</v>
      </c>
      <c r="O12" s="16">
        <v>0.1709333333333333</v>
      </c>
      <c r="P12" s="6">
        <v>0.58800000000000019</v>
      </c>
      <c r="Q12" s="18"/>
      <c r="R12" s="16">
        <v>0.1020199999999999</v>
      </c>
      <c r="S12" s="6">
        <v>-6.9999999999999999E-4</v>
      </c>
      <c r="T12" s="6">
        <v>146.74285714285702</v>
      </c>
      <c r="U12" s="22">
        <v>0</v>
      </c>
    </row>
    <row r="13" spans="1:21" x14ac:dyDescent="0.3">
      <c r="A13" s="3">
        <v>11</v>
      </c>
      <c r="B13" t="s">
        <v>14</v>
      </c>
      <c r="C13" s="16">
        <v>0.11103666666666667</v>
      </c>
      <c r="D13" s="16">
        <v>9.3833333333333047E-2</v>
      </c>
      <c r="E13" s="16">
        <v>1.356267379679144</v>
      </c>
      <c r="F13" s="6">
        <v>2.3084001887682812</v>
      </c>
      <c r="G13" s="18"/>
      <c r="H13" s="16">
        <v>2.2736666666666641E-2</v>
      </c>
      <c r="I13" s="6">
        <v>2.11166666666667E-2</v>
      </c>
      <c r="J13" s="16">
        <v>16.15777777777776</v>
      </c>
      <c r="K13" s="6">
        <v>15.077777777777801</v>
      </c>
      <c r="L13" s="18"/>
      <c r="M13" s="16">
        <v>-2.9932222222222166E-2</v>
      </c>
      <c r="N13" s="6">
        <v>-4.9533333333333304E-2</v>
      </c>
      <c r="O13" s="16">
        <v>0.45312626877791384</v>
      </c>
      <c r="P13" s="6">
        <v>9.5006090133983007E-2</v>
      </c>
      <c r="Q13" s="18"/>
      <c r="R13" s="16">
        <v>1.3244444444444434E-3</v>
      </c>
      <c r="S13" s="6">
        <v>0.1351</v>
      </c>
      <c r="T13" s="6">
        <v>5.4148148148148119</v>
      </c>
      <c r="U13" s="22">
        <v>451.33333333333337</v>
      </c>
    </row>
    <row r="14" spans="1:21" x14ac:dyDescent="0.3">
      <c r="A14" s="3">
        <v>12</v>
      </c>
      <c r="B14" t="s">
        <v>1</v>
      </c>
      <c r="C14" s="16">
        <v>3.770000000000065E-3</v>
      </c>
      <c r="D14" s="16">
        <v>-9.1333333333333006E-3</v>
      </c>
      <c r="E14" s="16">
        <v>1.1960138648180281</v>
      </c>
      <c r="F14" s="6">
        <v>1.2346052134491878</v>
      </c>
      <c r="G14" s="18"/>
      <c r="H14" s="16">
        <v>-7.6999999999999985E-4</v>
      </c>
      <c r="I14" s="6">
        <v>-5.5999999999999999E-3</v>
      </c>
      <c r="J14" s="16">
        <v>0.86250000000000004</v>
      </c>
      <c r="K14" s="6">
        <v>0</v>
      </c>
      <c r="L14" s="18"/>
      <c r="M14" s="16">
        <v>-9.8922222222222571E-3</v>
      </c>
      <c r="N14" s="6">
        <v>-2.0666666666666993E-3</v>
      </c>
      <c r="O14" s="16">
        <v>0.29172633253778757</v>
      </c>
      <c r="P14" s="6">
        <v>0.85202863961813646</v>
      </c>
      <c r="Q14" s="18"/>
      <c r="R14" s="16">
        <v>-5.0000000000000001E-4</v>
      </c>
      <c r="S14" s="6">
        <v>0.18390000000000001</v>
      </c>
      <c r="T14" s="6">
        <v>0</v>
      </c>
      <c r="U14" s="22">
        <v>368.8</v>
      </c>
    </row>
    <row r="15" spans="1:21" x14ac:dyDescent="0.3">
      <c r="A15" s="3">
        <v>13</v>
      </c>
      <c r="B15" t="s">
        <v>43</v>
      </c>
      <c r="C15" s="16">
        <v>2.9622222222222072E-3</v>
      </c>
      <c r="D15" s="16">
        <v>3.5133333333333329E-2</v>
      </c>
      <c r="E15" s="16">
        <v>1.4191823899371045</v>
      </c>
      <c r="F15" s="6">
        <v>2.0810488676996424</v>
      </c>
      <c r="G15" s="18"/>
      <c r="H15" s="16">
        <v>2.32E-3</v>
      </c>
      <c r="I15" s="6">
        <v>-2.7333333333333298E-3</v>
      </c>
      <c r="J15" s="16">
        <v>1.8487804878048792</v>
      </c>
      <c r="K15" s="6">
        <v>0</v>
      </c>
      <c r="L15" s="18"/>
      <c r="M15" s="16">
        <v>-8.6733333333332881E-3</v>
      </c>
      <c r="N15" s="6">
        <v>-1.7433333333333301E-2</v>
      </c>
      <c r="O15" s="16">
        <v>0.50248565965583336</v>
      </c>
      <c r="P15" s="6">
        <v>0</v>
      </c>
      <c r="Q15" s="18"/>
      <c r="R15" s="16">
        <v>-5.0000000000000001E-4</v>
      </c>
      <c r="S15" s="6">
        <v>-5.0000000000000001E-4</v>
      </c>
      <c r="T15" s="6">
        <v>0</v>
      </c>
      <c r="U15" s="22">
        <v>0</v>
      </c>
    </row>
    <row r="16" spans="1:21" x14ac:dyDescent="0.3">
      <c r="A16" s="3">
        <v>14</v>
      </c>
      <c r="B16" t="s">
        <v>16</v>
      </c>
      <c r="C16" s="16">
        <v>0.16166333333333296</v>
      </c>
      <c r="D16" s="16">
        <v>0.18483333333333299</v>
      </c>
      <c r="E16" s="16">
        <v>2.1443841434638928</v>
      </c>
      <c r="F16" s="6">
        <v>1.8458646616541345</v>
      </c>
      <c r="G16" s="18"/>
      <c r="H16" s="16">
        <v>2.8243333333333297E-2</v>
      </c>
      <c r="I16" s="6">
        <v>2.7573333333333332E-2</v>
      </c>
      <c r="J16" s="16">
        <v>10.520224719101101</v>
      </c>
      <c r="K16" s="6">
        <v>10.294382022471899</v>
      </c>
      <c r="L16" s="18"/>
      <c r="M16" s="16">
        <v>-1.7821111111111149E-2</v>
      </c>
      <c r="N16" s="6">
        <v>-1.5133333333333372E-2</v>
      </c>
      <c r="O16" s="16">
        <v>0.27752252252252207</v>
      </c>
      <c r="P16" s="6">
        <v>0.38648648648648576</v>
      </c>
      <c r="Q16" s="18"/>
      <c r="R16" s="16">
        <v>3.8577777777777768E-3</v>
      </c>
      <c r="S16" s="6">
        <v>-9.33333333333333E-4</v>
      </c>
      <c r="T16" s="6">
        <v>5.1333333333333337</v>
      </c>
      <c r="U16" s="22">
        <v>0</v>
      </c>
    </row>
    <row r="17" spans="1:21" x14ac:dyDescent="0.3">
      <c r="A17" s="3">
        <v>15</v>
      </c>
      <c r="B17" t="s">
        <v>23</v>
      </c>
      <c r="C17" s="16">
        <v>5.9955555555555665E-2</v>
      </c>
      <c r="D17" s="16">
        <v>9.4833333333333006E-2</v>
      </c>
      <c r="E17" s="16">
        <v>1.640550807217475</v>
      </c>
      <c r="F17" s="6">
        <v>2.9132947976878616</v>
      </c>
      <c r="G17" s="18"/>
      <c r="H17" s="16">
        <v>3.4006666666666699E-2</v>
      </c>
      <c r="I17" s="6">
        <v>4.176666666666661E-3</v>
      </c>
      <c r="J17" s="16">
        <v>7.0011764705882378</v>
      </c>
      <c r="K17" s="6">
        <v>1.7370588235294104</v>
      </c>
      <c r="L17" s="18"/>
      <c r="M17" s="16">
        <v>-1.563999999999998E-2</v>
      </c>
      <c r="N17" s="6">
        <v>-2.7666666666666631E-2</v>
      </c>
      <c r="O17" s="16">
        <v>0.49764453961456118</v>
      </c>
      <c r="P17" s="6">
        <v>0.11134903640256981</v>
      </c>
      <c r="Q17" s="18"/>
      <c r="R17" s="16">
        <v>7.6610000000000011E-2</v>
      </c>
      <c r="S17" s="6">
        <v>-2.9999999999999997E-4</v>
      </c>
      <c r="T17" s="6">
        <v>256.36666666666673</v>
      </c>
      <c r="U17" s="22">
        <v>0</v>
      </c>
    </row>
    <row r="18" spans="1:21" x14ac:dyDescent="0.3">
      <c r="A18" s="3">
        <v>16</v>
      </c>
      <c r="B18" t="s">
        <v>29</v>
      </c>
      <c r="C18" s="16">
        <v>5.0022222222222287E-2</v>
      </c>
      <c r="D18" s="16">
        <v>0.03</v>
      </c>
      <c r="E18" s="16">
        <v>2.4104010025062661</v>
      </c>
      <c r="F18" s="6">
        <v>2.2550669216061214</v>
      </c>
      <c r="G18" s="18"/>
      <c r="H18" s="16">
        <v>4.925999999999997E-2</v>
      </c>
      <c r="I18" s="6">
        <v>9.0299999999999686E-3</v>
      </c>
      <c r="J18" s="16">
        <v>6.7057915057915043</v>
      </c>
      <c r="K18" s="6">
        <v>2.0459459459459426</v>
      </c>
      <c r="L18" s="18"/>
      <c r="M18" s="16">
        <v>-5.7867777777777796E-2</v>
      </c>
      <c r="N18" s="6">
        <v>-4.31666666666667E-2</v>
      </c>
      <c r="O18" s="16">
        <v>0.27635125746838962</v>
      </c>
      <c r="P18" s="6">
        <v>0.46019174656106693</v>
      </c>
      <c r="Q18" s="18"/>
      <c r="R18" s="16">
        <v>-6.8000000000000005E-4</v>
      </c>
      <c r="S18" s="6">
        <v>-6.1000000000000004E-3</v>
      </c>
      <c r="T18" s="6">
        <v>0.88852459016393448</v>
      </c>
      <c r="U18" s="22">
        <v>0</v>
      </c>
    </row>
    <row r="19" spans="1:21" x14ac:dyDescent="0.3">
      <c r="A19" s="3">
        <v>17</v>
      </c>
      <c r="B19" t="s">
        <v>25</v>
      </c>
      <c r="C19" s="16">
        <v>4.0305555555555726E-2</v>
      </c>
      <c r="D19" s="16">
        <v>0.13350000000000031</v>
      </c>
      <c r="E19" s="16">
        <v>1.6953229825570277</v>
      </c>
      <c r="F19" s="6">
        <v>1.1885260528194139</v>
      </c>
      <c r="G19" s="18"/>
      <c r="H19" s="16">
        <v>-2E-3</v>
      </c>
      <c r="I19" s="6">
        <v>-4.8999999999999998E-3</v>
      </c>
      <c r="J19" s="16">
        <v>0.59183673469387754</v>
      </c>
      <c r="K19" s="6">
        <v>0</v>
      </c>
      <c r="L19" s="18"/>
      <c r="M19" s="16">
        <v>4.4620000000000035E-2</v>
      </c>
      <c r="N19" s="6">
        <v>4.2666666666667016E-3</v>
      </c>
      <c r="O19" s="16">
        <v>5.360260586319237</v>
      </c>
      <c r="P19" s="6">
        <v>1.4169381107491905</v>
      </c>
      <c r="Q19" s="18"/>
      <c r="R19" s="16">
        <v>5.3164444444444334E-2</v>
      </c>
      <c r="S19" s="6">
        <v>-3.33333333333333E-4</v>
      </c>
      <c r="T19" s="6">
        <v>160.49333333333317</v>
      </c>
      <c r="U19" s="22">
        <v>0</v>
      </c>
    </row>
    <row r="20" spans="1:21" x14ac:dyDescent="0.3">
      <c r="A20" s="3">
        <v>18</v>
      </c>
      <c r="B20" t="s">
        <v>36</v>
      </c>
      <c r="C20" s="16">
        <v>7.5869999999999868E-2</v>
      </c>
      <c r="D20" s="16">
        <v>0.1095333333333333</v>
      </c>
      <c r="E20" s="16">
        <v>1.9405371900826425</v>
      </c>
      <c r="F20" s="6">
        <v>1.8315536572343782</v>
      </c>
      <c r="G20" s="18"/>
      <c r="H20" s="16">
        <v>8.6300000000000057E-3</v>
      </c>
      <c r="I20" s="6">
        <v>-1.9E-3</v>
      </c>
      <c r="J20" s="16">
        <v>5.5421052631578984</v>
      </c>
      <c r="K20" s="6">
        <v>0</v>
      </c>
      <c r="L20" s="18"/>
      <c r="M20" s="16">
        <v>-1.7801111111111143E-2</v>
      </c>
      <c r="N20" s="6">
        <v>-1.2633333333333368E-2</v>
      </c>
      <c r="O20" s="16">
        <v>0.20054890219560856</v>
      </c>
      <c r="P20" s="6">
        <v>0.43263473053892143</v>
      </c>
      <c r="Q20" s="18"/>
      <c r="R20" s="16">
        <v>7.5666666666666677E-4</v>
      </c>
      <c r="S20" s="6">
        <v>-4.0000000000000002E-4</v>
      </c>
      <c r="T20" s="6">
        <v>2.8916666666666666</v>
      </c>
      <c r="U20" s="22">
        <v>0</v>
      </c>
    </row>
    <row r="21" spans="1:21" x14ac:dyDescent="0.3">
      <c r="A21" s="3">
        <v>19</v>
      </c>
      <c r="B21" t="s">
        <v>35</v>
      </c>
      <c r="C21" s="16">
        <v>0.11140777777777761</v>
      </c>
      <c r="D21" s="16">
        <v>0.13339999999999996</v>
      </c>
      <c r="E21" s="16">
        <v>1.3465609014240278</v>
      </c>
      <c r="F21" s="6">
        <v>1.9664268585131905</v>
      </c>
      <c r="G21" s="18"/>
      <c r="H21" s="16">
        <v>0.33052666666666602</v>
      </c>
      <c r="I21" s="6">
        <v>0.1771166666666667</v>
      </c>
      <c r="J21" s="16">
        <v>7.4640156453715694</v>
      </c>
      <c r="K21" s="6">
        <v>4.4638200782268607</v>
      </c>
      <c r="L21" s="18"/>
      <c r="M21" s="16">
        <v>-7.3833333333333329E-3</v>
      </c>
      <c r="N21" s="6">
        <v>-1.49E-2</v>
      </c>
      <c r="O21" s="16">
        <v>0.50447427293064884</v>
      </c>
      <c r="P21" s="6">
        <v>0</v>
      </c>
      <c r="Q21" s="18"/>
      <c r="R21" s="16">
        <v>2.3862222222222222E-2</v>
      </c>
      <c r="S21" s="6">
        <v>-5.3333333333333303E-4</v>
      </c>
      <c r="T21" s="6">
        <v>45.741666666666696</v>
      </c>
      <c r="U21" s="22">
        <v>0</v>
      </c>
    </row>
    <row r="22" spans="1:21" x14ac:dyDescent="0.3">
      <c r="A22" s="3">
        <v>20</v>
      </c>
      <c r="B22" t="s">
        <v>48</v>
      </c>
      <c r="C22" s="16">
        <v>3.5977777777777664E-2</v>
      </c>
      <c r="D22" s="16">
        <v>4.2666666666667016E-3</v>
      </c>
      <c r="E22" s="16">
        <v>3.4474678760392967</v>
      </c>
      <c r="F22" s="6">
        <v>5.0464912280701846</v>
      </c>
      <c r="G22" s="18"/>
      <c r="H22" s="16">
        <v>6.2770000000000006E-2</v>
      </c>
      <c r="I22" s="6">
        <v>3.73E-2</v>
      </c>
      <c r="J22" s="16">
        <v>5.865891472868217</v>
      </c>
      <c r="K22" s="6">
        <v>3.8914728682170545</v>
      </c>
      <c r="L22" s="18"/>
      <c r="M22" s="16">
        <v>-6.5441111111111103E-2</v>
      </c>
      <c r="N22" s="6">
        <v>-5.1133333333333301E-2</v>
      </c>
      <c r="O22" s="16">
        <v>0.23281229646997539</v>
      </c>
      <c r="P22" s="6">
        <v>0.40054708870652639</v>
      </c>
      <c r="Q22" s="18"/>
      <c r="R22" s="16">
        <v>-2.1777777777778722E-4</v>
      </c>
      <c r="S22" s="6">
        <v>3.2000000000000006E-3</v>
      </c>
      <c r="T22" s="6">
        <v>0.96765676567656622</v>
      </c>
      <c r="U22" s="22">
        <v>1.4752475247524757</v>
      </c>
    </row>
    <row r="23" spans="1:21" x14ac:dyDescent="0.3">
      <c r="A23" s="3">
        <v>21</v>
      </c>
      <c r="B23" t="s">
        <v>8</v>
      </c>
      <c r="C23" s="16">
        <v>0.19294444444444397</v>
      </c>
      <c r="D23" s="16">
        <v>0.15496666666666598</v>
      </c>
      <c r="E23" s="16">
        <v>1.6510328796910712</v>
      </c>
      <c r="F23" s="6">
        <v>1.8906201789571091</v>
      </c>
      <c r="G23" s="18"/>
      <c r="H23" s="16">
        <v>1.97E-3</v>
      </c>
      <c r="I23" s="6">
        <v>-3.0999999999999999E-3</v>
      </c>
      <c r="J23" s="16">
        <v>1.6354838709677419</v>
      </c>
      <c r="K23" s="6">
        <v>0</v>
      </c>
      <c r="L23" s="18"/>
      <c r="M23" s="16">
        <v>-3.0506666666666668E-2</v>
      </c>
      <c r="N23" s="6">
        <v>-3.8800000000000001E-2</v>
      </c>
      <c r="O23" s="16">
        <v>0.21374570446735394</v>
      </c>
      <c r="P23" s="6">
        <v>0</v>
      </c>
      <c r="Q23" s="18"/>
      <c r="R23" s="16">
        <v>4.0699999999999903E-3</v>
      </c>
      <c r="S23" s="6">
        <v>-4.0000000000000002E-4</v>
      </c>
      <c r="T23" s="6">
        <v>11.174999999999976</v>
      </c>
      <c r="U23" s="22">
        <v>0</v>
      </c>
    </row>
    <row r="24" spans="1:21" x14ac:dyDescent="0.3">
      <c r="A24" s="3">
        <v>22</v>
      </c>
      <c r="B24" t="s">
        <v>10</v>
      </c>
      <c r="C24" s="16">
        <v>4.2091111111111135E-2</v>
      </c>
      <c r="D24" s="16">
        <v>8.9599999999999694E-2</v>
      </c>
      <c r="E24" s="16">
        <v>1.596754883427852</v>
      </c>
      <c r="F24" s="6">
        <v>1.6909246575342478</v>
      </c>
      <c r="G24" s="18"/>
      <c r="H24" s="16">
        <v>2.419E-2</v>
      </c>
      <c r="I24" s="6">
        <v>2.97E-3</v>
      </c>
      <c r="J24" s="16">
        <v>10.675999999999998</v>
      </c>
      <c r="K24" s="6">
        <v>2.1880000000000002</v>
      </c>
      <c r="L24" s="18"/>
      <c r="M24" s="16">
        <v>-1.9486666666666656E-2</v>
      </c>
      <c r="N24" s="6">
        <v>-1.7966666666666672E-2</v>
      </c>
      <c r="O24" s="16">
        <v>0.28620268620268663</v>
      </c>
      <c r="P24" s="6">
        <v>0.34188034188034178</v>
      </c>
      <c r="Q24" s="18"/>
      <c r="R24" s="16">
        <v>2.1588888888888868E-3</v>
      </c>
      <c r="S24" s="6">
        <v>2.96666666666667E-3</v>
      </c>
      <c r="T24" s="6">
        <v>4.5981481481481445</v>
      </c>
      <c r="U24" s="22">
        <v>5.94444444444445</v>
      </c>
    </row>
    <row r="25" spans="1:21" x14ac:dyDescent="0.3">
      <c r="A25" s="3">
        <v>23</v>
      </c>
      <c r="B25" t="s">
        <v>33</v>
      </c>
      <c r="C25" s="16">
        <v>0.16134888888888901</v>
      </c>
      <c r="D25" s="16">
        <v>0.26480000000000004</v>
      </c>
      <c r="E25" s="16">
        <v>2.165815671162493</v>
      </c>
      <c r="F25" s="6">
        <v>2.0892816157906844</v>
      </c>
      <c r="G25" s="18"/>
      <c r="H25" s="16">
        <v>-2.3433333333333327E-3</v>
      </c>
      <c r="I25" s="6">
        <v>4.7099999999999998E-3</v>
      </c>
      <c r="J25" s="16">
        <v>0.19195402298850589</v>
      </c>
      <c r="K25" s="6">
        <v>2.624137931034483</v>
      </c>
      <c r="L25" s="18"/>
      <c r="M25" s="16">
        <v>-7.4486666666666673E-2</v>
      </c>
      <c r="N25" s="6">
        <v>-5.3766666666666699E-2</v>
      </c>
      <c r="O25" s="16">
        <v>0.1216194968553459</v>
      </c>
      <c r="P25" s="6">
        <v>0.36595911949685495</v>
      </c>
      <c r="Q25" s="18"/>
      <c r="R25" s="16">
        <v>2.1300000000000004E-3</v>
      </c>
      <c r="S25" s="6">
        <v>-4.3333333333333299E-4</v>
      </c>
      <c r="T25" s="6">
        <v>5.9153846153846201</v>
      </c>
      <c r="U25" s="22">
        <v>0</v>
      </c>
    </row>
    <row r="26" spans="1:21" x14ac:dyDescent="0.3">
      <c r="A26" s="3">
        <v>24</v>
      </c>
      <c r="B26" t="s">
        <v>20</v>
      </c>
      <c r="C26" s="16">
        <v>0.11628999999999966</v>
      </c>
      <c r="D26" s="16">
        <v>3.2899999999999999E-2</v>
      </c>
      <c r="E26" s="16">
        <v>2.8878246753246697</v>
      </c>
      <c r="F26" s="6">
        <v>1.2902494331065784</v>
      </c>
      <c r="G26" s="18"/>
      <c r="H26" s="16">
        <v>2.9836666666666699E-2</v>
      </c>
      <c r="I26" s="6">
        <v>-6.4999999999999997E-3</v>
      </c>
      <c r="J26" s="16">
        <v>5.5902564102564156</v>
      </c>
      <c r="K26" s="6">
        <v>0</v>
      </c>
      <c r="L26" s="18"/>
      <c r="M26" s="16">
        <v>-4.4555555555555104E-3</v>
      </c>
      <c r="N26" s="6">
        <v>-8.766666666666631E-3</v>
      </c>
      <c r="O26" s="16">
        <v>0.62347417840375863</v>
      </c>
      <c r="P26" s="6">
        <v>0.25915492957746578</v>
      </c>
      <c r="Q26" s="18"/>
      <c r="R26" s="16">
        <v>3.3633333333333332E-3</v>
      </c>
      <c r="S26" s="6">
        <v>3.8000000000000004E-3</v>
      </c>
      <c r="T26" s="6">
        <v>12.211111111111112</v>
      </c>
      <c r="U26" s="22">
        <v>13.66666666666667</v>
      </c>
    </row>
    <row r="27" spans="1:21" x14ac:dyDescent="0.3">
      <c r="A27" s="3">
        <v>25</v>
      </c>
      <c r="B27" t="s">
        <v>51</v>
      </c>
      <c r="C27" s="16">
        <v>5.8568888888889059E-2</v>
      </c>
      <c r="D27" s="16">
        <v>7.0433333333333015E-2</v>
      </c>
      <c r="E27" s="16">
        <v>1.1567689745419942</v>
      </c>
      <c r="F27" s="6">
        <v>2.4791666666666696</v>
      </c>
      <c r="G27" s="18"/>
      <c r="H27" s="16">
        <v>0.18704666666666669</v>
      </c>
      <c r="I27" s="6">
        <v>6.6766666666666988E-3</v>
      </c>
      <c r="J27" s="16">
        <v>9.8647709320695114</v>
      </c>
      <c r="K27" s="6">
        <v>1.3164296998420237</v>
      </c>
      <c r="L27" s="18"/>
      <c r="M27" s="16">
        <v>1.3077777777777688E-3</v>
      </c>
      <c r="N27" s="6">
        <v>9.2999999999999715E-3</v>
      </c>
      <c r="O27" s="16">
        <v>1.1416365824308052</v>
      </c>
      <c r="P27" s="6">
        <v>2.0072202166064956</v>
      </c>
      <c r="Q27" s="18"/>
      <c r="R27" s="16">
        <v>8.7922222222222238E-3</v>
      </c>
      <c r="S27" s="6">
        <v>-6.9999999999999999E-4</v>
      </c>
      <c r="T27" s="6">
        <v>13.560317460317462</v>
      </c>
      <c r="U27" s="22">
        <v>0</v>
      </c>
    </row>
    <row r="28" spans="1:21" x14ac:dyDescent="0.3">
      <c r="A28" s="3">
        <v>26</v>
      </c>
      <c r="B28" t="s">
        <v>32</v>
      </c>
      <c r="C28" s="16">
        <v>6.6636666666666983E-2</v>
      </c>
      <c r="D28" s="16">
        <v>0.178633333333334</v>
      </c>
      <c r="E28" s="16">
        <v>1.5737944890930009</v>
      </c>
      <c r="F28" s="6">
        <v>3.2596685082872923</v>
      </c>
      <c r="G28" s="18"/>
      <c r="H28" s="16">
        <v>0.11161666666666659</v>
      </c>
      <c r="I28" s="6">
        <v>7.9333333333332923E-3</v>
      </c>
      <c r="J28" s="16">
        <v>2.2702959028831549</v>
      </c>
      <c r="K28" s="6">
        <v>1.0902883156297416</v>
      </c>
      <c r="L28" s="18"/>
      <c r="M28" s="16">
        <v>-2.2177777777777682E-3</v>
      </c>
      <c r="N28" s="6">
        <v>-1.6666666666667E-3</v>
      </c>
      <c r="O28" s="16">
        <v>0.85214814814814877</v>
      </c>
      <c r="P28" s="6">
        <v>0.88888888888888662</v>
      </c>
      <c r="Q28" s="18"/>
      <c r="R28" s="16">
        <v>2.6923333333333337E-2</v>
      </c>
      <c r="S28" s="6">
        <v>-6.3333333333333297E-4</v>
      </c>
      <c r="T28" s="6">
        <v>43.510526315789505</v>
      </c>
      <c r="U28" s="22">
        <v>0</v>
      </c>
    </row>
    <row r="29" spans="1:21" x14ac:dyDescent="0.3">
      <c r="A29" s="3">
        <v>27</v>
      </c>
      <c r="B29" t="s">
        <v>47</v>
      </c>
      <c r="C29" s="16">
        <v>1.5655555555555561E-3</v>
      </c>
      <c r="D29" s="16">
        <v>9.5666666666666695E-3</v>
      </c>
      <c r="E29" s="16">
        <v>1.3049783549783553</v>
      </c>
      <c r="F29" s="6">
        <v>2.5659388646288273</v>
      </c>
      <c r="G29" s="18"/>
      <c r="H29" s="16">
        <v>1.3866666666666671E-2</v>
      </c>
      <c r="I29" s="6">
        <v>-2.5999999999999999E-3</v>
      </c>
      <c r="J29" s="16">
        <v>6.3333333333333357</v>
      </c>
      <c r="K29" s="6">
        <v>0</v>
      </c>
      <c r="L29" s="18"/>
      <c r="M29" s="16">
        <v>-5.1683333333333296E-2</v>
      </c>
      <c r="N29" s="6">
        <v>-4.7599999999999996E-2</v>
      </c>
      <c r="O29" s="16">
        <v>0.20159629248197747</v>
      </c>
      <c r="P29" s="6">
        <v>0.26467559217301712</v>
      </c>
      <c r="Q29" s="18"/>
      <c r="R29" s="16">
        <v>-6.9999999999999999E-4</v>
      </c>
      <c r="S29" s="6">
        <v>2.9333333333333299E-3</v>
      </c>
      <c r="T29" s="6">
        <v>0</v>
      </c>
      <c r="U29" s="22">
        <v>5.1904761904761854</v>
      </c>
    </row>
    <row r="30" spans="1:21" x14ac:dyDescent="0.3">
      <c r="A30" s="3">
        <v>28</v>
      </c>
      <c r="B30" t="s">
        <v>24</v>
      </c>
      <c r="C30" s="16">
        <v>2.989333333333323E-2</v>
      </c>
      <c r="D30" s="16">
        <v>8.0699999999999994E-2</v>
      </c>
      <c r="E30" s="16">
        <v>1.630661040787621</v>
      </c>
      <c r="F30" s="6">
        <v>1.5340909090909089</v>
      </c>
      <c r="G30" s="18"/>
      <c r="H30" s="16">
        <v>9.8889999999999992E-2</v>
      </c>
      <c r="I30" s="6">
        <v>1.6466666666667008E-3</v>
      </c>
      <c r="J30" s="16">
        <v>10.242056074766355</v>
      </c>
      <c r="K30" s="6">
        <v>1.1538940809968878</v>
      </c>
      <c r="L30" s="18"/>
      <c r="M30" s="16">
        <v>-2.4563333333333333E-2</v>
      </c>
      <c r="N30" s="6">
        <v>-4.8599999999999997E-2</v>
      </c>
      <c r="O30" s="16">
        <v>0.49458161865569272</v>
      </c>
      <c r="P30" s="6">
        <v>0</v>
      </c>
      <c r="Q30" s="18"/>
      <c r="R30" s="16">
        <v>1.0056666666666667E-2</v>
      </c>
      <c r="S30" s="6">
        <v>-4.6666666666666699E-4</v>
      </c>
      <c r="T30" s="6">
        <v>22.549999999999986</v>
      </c>
      <c r="U30" s="22">
        <v>0</v>
      </c>
    </row>
    <row r="31" spans="1:21" x14ac:dyDescent="0.3">
      <c r="A31" s="3">
        <v>29</v>
      </c>
      <c r="B31" t="s">
        <v>6</v>
      </c>
      <c r="C31" s="16">
        <v>0.10811333333333298</v>
      </c>
      <c r="D31" s="16">
        <v>0.1094000000000003</v>
      </c>
      <c r="E31" s="16">
        <v>2.2403059273422516</v>
      </c>
      <c r="F31" s="6">
        <v>3.2130325814536342</v>
      </c>
      <c r="G31" s="18"/>
      <c r="H31" s="16">
        <v>1.46333333333333E-2</v>
      </c>
      <c r="I31" s="6">
        <v>-6.3333333333333297E-3</v>
      </c>
      <c r="J31" s="16">
        <v>3.31052631578947</v>
      </c>
      <c r="K31" s="6">
        <v>0</v>
      </c>
      <c r="L31" s="18"/>
      <c r="M31" s="16">
        <v>-2.6821111111111115E-2</v>
      </c>
      <c r="N31" s="6">
        <v>-3.1600000000000003E-2</v>
      </c>
      <c r="O31" s="16">
        <v>0.15123066104078764</v>
      </c>
      <c r="P31" s="6">
        <v>0</v>
      </c>
      <c r="Q31" s="18"/>
      <c r="R31" s="16">
        <v>1.3166666666666665E-3</v>
      </c>
      <c r="S31" s="6">
        <v>-1.2999999999999999E-3</v>
      </c>
      <c r="T31" s="6">
        <v>2.0128205128205128</v>
      </c>
      <c r="U31" s="22">
        <v>0</v>
      </c>
    </row>
    <row r="32" spans="1:21" x14ac:dyDescent="0.3">
      <c r="A32" s="3">
        <v>30</v>
      </c>
      <c r="B32" t="s">
        <v>39</v>
      </c>
      <c r="C32" s="16">
        <v>1.4944444444444666E-3</v>
      </c>
      <c r="D32" s="16">
        <v>2.9166666666666695E-2</v>
      </c>
      <c r="E32" s="16">
        <v>1.1137901861252135</v>
      </c>
      <c r="F32" s="6">
        <v>2.1353941267388041</v>
      </c>
      <c r="G32" s="18"/>
      <c r="H32" s="16">
        <v>8.9033333333333291E-3</v>
      </c>
      <c r="I32" s="6">
        <v>2.1099999999999999E-3</v>
      </c>
      <c r="J32" s="16">
        <v>7.3595238095238065</v>
      </c>
      <c r="K32" s="6">
        <v>2.5071428571428571</v>
      </c>
      <c r="L32" s="18"/>
      <c r="M32" s="16">
        <v>-2.9674444444444479E-2</v>
      </c>
      <c r="N32" s="6">
        <v>-2.7400000000000035E-2</v>
      </c>
      <c r="O32" s="16">
        <v>0.12893020221787335</v>
      </c>
      <c r="P32" s="6">
        <v>0.19569471624266133</v>
      </c>
      <c r="Q32" s="18"/>
      <c r="R32" s="16">
        <v>1.4244444444444435E-3</v>
      </c>
      <c r="S32" s="6">
        <v>-2.9999999999999997E-4</v>
      </c>
      <c r="T32" s="6">
        <v>5.7481481481481449</v>
      </c>
      <c r="U32" s="22">
        <v>0</v>
      </c>
    </row>
    <row r="33" spans="1:21" x14ac:dyDescent="0.3">
      <c r="A33" s="3">
        <v>31</v>
      </c>
      <c r="B33" t="s">
        <v>3</v>
      </c>
      <c r="C33" s="16">
        <v>6.849333333333335E-2</v>
      </c>
      <c r="D33" s="16">
        <v>9.6533333333332999E-2</v>
      </c>
      <c r="E33" s="16">
        <v>1.5301341589267288</v>
      </c>
      <c r="F33" s="6">
        <v>3.1823204419889524</v>
      </c>
      <c r="G33" s="18"/>
      <c r="H33" s="16">
        <v>2.4436666666666697E-2</v>
      </c>
      <c r="I33" s="6">
        <v>-1.6453333333333302E-2</v>
      </c>
      <c r="J33" s="16">
        <v>1.6104079933388855</v>
      </c>
      <c r="K33" s="6">
        <v>0.58900915903413864</v>
      </c>
      <c r="L33" s="18"/>
      <c r="M33" s="16">
        <v>-1.9842222222222199E-2</v>
      </c>
      <c r="N33" s="6">
        <v>-1.7333333333333298E-2</v>
      </c>
      <c r="O33" s="16">
        <v>0.3956683587140441</v>
      </c>
      <c r="P33" s="6">
        <v>0.4720812182741122</v>
      </c>
      <c r="Q33" s="18"/>
      <c r="R33" s="16">
        <v>4.586666666666672E-3</v>
      </c>
      <c r="S33" s="6">
        <v>-1.83333333333333E-3</v>
      </c>
      <c r="T33" s="6" t="s">
        <v>61</v>
      </c>
      <c r="U33" s="22">
        <v>0</v>
      </c>
    </row>
    <row r="34" spans="1:21" x14ac:dyDescent="0.3">
      <c r="A34" s="3">
        <v>32</v>
      </c>
      <c r="B34" t="s">
        <v>49</v>
      </c>
      <c r="C34" s="16">
        <v>1.0945555555555573E-2</v>
      </c>
      <c r="D34" s="16">
        <v>4.0899999999999992E-2</v>
      </c>
      <c r="E34" s="16">
        <v>1.6047268262737886</v>
      </c>
      <c r="F34" s="6">
        <v>2.8962536023054755</v>
      </c>
      <c r="G34" s="18"/>
      <c r="H34" s="16">
        <v>5.0590000000000003E-2</v>
      </c>
      <c r="I34" s="6">
        <v>-2.0999999999999999E-3</v>
      </c>
      <c r="J34" s="16">
        <v>25.090476190476192</v>
      </c>
      <c r="K34" s="6">
        <v>0</v>
      </c>
      <c r="L34" s="18"/>
      <c r="M34" s="16">
        <v>-8.2000000000000007E-3</v>
      </c>
      <c r="N34" s="6">
        <v>-8.2000000000000007E-3</v>
      </c>
      <c r="O34" s="16">
        <v>0</v>
      </c>
      <c r="P34" s="6">
        <v>0</v>
      </c>
      <c r="Q34" s="18"/>
      <c r="R34" s="16">
        <v>1.9366666666666664E-3</v>
      </c>
      <c r="S34" s="6">
        <v>-2.0000000000000001E-4</v>
      </c>
      <c r="T34" s="6">
        <v>10.683333333333332</v>
      </c>
      <c r="U34" s="22">
        <v>0</v>
      </c>
    </row>
    <row r="35" spans="1:21" x14ac:dyDescent="0.3">
      <c r="A35" s="3">
        <v>33</v>
      </c>
      <c r="B35" t="s">
        <v>4</v>
      </c>
      <c r="C35" s="16">
        <v>9.3944444444444636E-2</v>
      </c>
      <c r="D35" s="16">
        <v>0.15820000000000001</v>
      </c>
      <c r="E35" s="16">
        <v>1.6468518093489433</v>
      </c>
      <c r="F35" s="6">
        <v>3.0431872165838865</v>
      </c>
      <c r="G35" s="18"/>
      <c r="H35" s="16">
        <v>2.1499999999999991E-3</v>
      </c>
      <c r="I35" s="6">
        <v>-7.4000000000000003E-3</v>
      </c>
      <c r="J35" s="16">
        <v>1.2905405405405403</v>
      </c>
      <c r="K35" s="6">
        <v>0</v>
      </c>
      <c r="L35" s="18"/>
      <c r="M35" s="16">
        <v>-1.0739999999999996E-2</v>
      </c>
      <c r="N35" s="6">
        <v>-1.55E-2</v>
      </c>
      <c r="O35" s="16">
        <v>0.30709677419354864</v>
      </c>
      <c r="P35" s="6">
        <v>0</v>
      </c>
      <c r="Q35" s="18"/>
      <c r="R35" s="16">
        <v>4.6222222222222021E-4</v>
      </c>
      <c r="S35" s="6">
        <v>-2.8666666666666701E-3</v>
      </c>
      <c r="T35" s="6">
        <v>1.1612403100775184</v>
      </c>
      <c r="U35" s="22">
        <v>0</v>
      </c>
    </row>
    <row r="36" spans="1:21" x14ac:dyDescent="0.3">
      <c r="A36" s="3">
        <v>34</v>
      </c>
      <c r="B36" t="s">
        <v>22</v>
      </c>
      <c r="C36" s="16">
        <v>9.1034444444444668E-2</v>
      </c>
      <c r="D36" s="16">
        <v>0.15023333333333302</v>
      </c>
      <c r="E36" s="16">
        <v>1.4253946002076854</v>
      </c>
      <c r="F36" s="6">
        <v>2.2703213610585973</v>
      </c>
      <c r="G36" s="18"/>
      <c r="H36" s="16">
        <v>2.2623333333333301E-2</v>
      </c>
      <c r="I36" s="6">
        <v>1.542E-2</v>
      </c>
      <c r="J36" s="16">
        <v>13.5685185185185</v>
      </c>
      <c r="K36" s="6">
        <v>9.5666666666666664</v>
      </c>
      <c r="L36" s="18"/>
      <c r="M36" s="16">
        <v>-4.2146666666666707E-2</v>
      </c>
      <c r="N36" s="6">
        <v>-3.3900000000000007E-2</v>
      </c>
      <c r="O36" s="16">
        <v>0.36302267002518868</v>
      </c>
      <c r="P36" s="6">
        <v>0.48765743073047879</v>
      </c>
      <c r="Q36" s="18"/>
      <c r="R36" s="16">
        <v>1.0533333333333334E-3</v>
      </c>
      <c r="S36" s="6">
        <v>-4.0000000000000002E-4</v>
      </c>
      <c r="T36" s="6">
        <v>3.6333333333333333</v>
      </c>
      <c r="U36" s="22">
        <v>0</v>
      </c>
    </row>
    <row r="37" spans="1:21" x14ac:dyDescent="0.3">
      <c r="A37" s="3">
        <v>35</v>
      </c>
      <c r="B37" t="s">
        <v>45</v>
      </c>
      <c r="C37" s="16">
        <v>-9.7833333333333071E-3</v>
      </c>
      <c r="D37" s="16">
        <v>2.6866666666666698E-2</v>
      </c>
      <c r="E37" s="16">
        <v>0.64808153477218322</v>
      </c>
      <c r="F37" s="6">
        <v>1.7492260061919418</v>
      </c>
      <c r="G37" s="18"/>
      <c r="H37" s="16">
        <v>1.4370000000000041E-2</v>
      </c>
      <c r="I37" s="6">
        <v>-7.1333333333332971E-4</v>
      </c>
      <c r="J37" s="16">
        <v>2.507342657342662</v>
      </c>
      <c r="K37" s="6">
        <v>0.92517482517482552</v>
      </c>
      <c r="L37" s="18"/>
      <c r="M37" s="16">
        <v>-1.7126666666666634E-2</v>
      </c>
      <c r="N37" s="6">
        <v>-1.6699999999999972E-2</v>
      </c>
      <c r="O37" s="16">
        <v>0.27531734837799754</v>
      </c>
      <c r="P37" s="6">
        <v>0.29337094499294808</v>
      </c>
      <c r="Q37" s="18"/>
      <c r="R37" s="16">
        <v>-2.0822222222222206E-3</v>
      </c>
      <c r="S37" s="6">
        <v>-6.166666666666671E-3</v>
      </c>
      <c r="T37" s="6">
        <v>0.77848699763593399</v>
      </c>
      <c r="U37" s="22">
        <v>0.34397163120567337</v>
      </c>
    </row>
    <row r="38" spans="1:21" x14ac:dyDescent="0.3">
      <c r="A38" s="3">
        <v>36</v>
      </c>
      <c r="B38" t="s">
        <v>30</v>
      </c>
      <c r="C38" s="16">
        <v>6.7069999999999644E-2</v>
      </c>
      <c r="D38" s="16">
        <v>0.10383333333333299</v>
      </c>
      <c r="E38" s="16">
        <v>1.5371329418045874</v>
      </c>
      <c r="F38" s="6">
        <v>3.2208121827411245</v>
      </c>
      <c r="G38" s="18"/>
      <c r="H38" s="16">
        <v>2.2159999999999968E-2</v>
      </c>
      <c r="I38" s="6">
        <v>-2.0999999999999999E-3</v>
      </c>
      <c r="J38" s="16">
        <v>11.552380952380938</v>
      </c>
      <c r="K38" s="6">
        <v>0</v>
      </c>
      <c r="L38" s="18"/>
      <c r="M38" s="16">
        <v>-1.1752222222222213E-2</v>
      </c>
      <c r="N38" s="6">
        <v>-7.3333333333330114E-4</v>
      </c>
      <c r="O38" s="16">
        <v>0.58764132553606274</v>
      </c>
      <c r="P38" s="6">
        <v>0.97426900584795439</v>
      </c>
      <c r="Q38" s="18"/>
      <c r="R38" s="16">
        <v>1.7866666666666669E-3</v>
      </c>
      <c r="S38" s="6">
        <v>-2.9999999999999997E-4</v>
      </c>
      <c r="T38" s="6">
        <v>6.9555555555555566</v>
      </c>
      <c r="U38" s="22">
        <v>0</v>
      </c>
    </row>
    <row r="39" spans="1:21" x14ac:dyDescent="0.3">
      <c r="A39" s="3">
        <v>37</v>
      </c>
      <c r="B39" t="s">
        <v>28</v>
      </c>
      <c r="C39" s="16">
        <v>8.5327777777777669E-2</v>
      </c>
      <c r="D39" s="16">
        <v>0.23206666666666673</v>
      </c>
      <c r="E39" s="16">
        <v>2.1510041966426847</v>
      </c>
      <c r="F39" s="6">
        <v>2.70253164556962</v>
      </c>
      <c r="G39" s="18"/>
      <c r="H39" s="16">
        <v>2.6636666666666697E-2</v>
      </c>
      <c r="I39" s="6">
        <v>-8.3000000000000001E-3</v>
      </c>
      <c r="J39" s="16">
        <v>4.2092369477911689</v>
      </c>
      <c r="K39" s="6">
        <v>0</v>
      </c>
      <c r="L39" s="18"/>
      <c r="M39" s="16">
        <v>-2.1063333333333368E-2</v>
      </c>
      <c r="N39" s="6">
        <v>-2.4066666666666701E-2</v>
      </c>
      <c r="O39" s="16">
        <v>0.12479224376731285</v>
      </c>
      <c r="P39" s="6">
        <v>0</v>
      </c>
      <c r="Q39" s="18"/>
      <c r="R39" s="16">
        <v>7.9588888888889008E-3</v>
      </c>
      <c r="S39" s="6">
        <v>-5.9999999999999995E-4</v>
      </c>
      <c r="T39" s="6">
        <v>14.264814814814835</v>
      </c>
      <c r="U39" s="22">
        <v>0</v>
      </c>
    </row>
    <row r="40" spans="1:21" x14ac:dyDescent="0.3">
      <c r="A40" s="3">
        <v>38</v>
      </c>
      <c r="B40" t="s">
        <v>18</v>
      </c>
      <c r="C40" s="16">
        <v>2.22544444444445E-2</v>
      </c>
      <c r="D40" s="16">
        <v>7.1366666666666703E-2</v>
      </c>
      <c r="E40" s="16">
        <v>2.1816519174041349</v>
      </c>
      <c r="F40" s="6">
        <v>2.3578512396694205</v>
      </c>
      <c r="G40" s="18"/>
      <c r="H40" s="16">
        <v>4.5666666666667032E-4</v>
      </c>
      <c r="I40" s="6">
        <v>-2.0999999999999999E-3</v>
      </c>
      <c r="J40" s="16">
        <v>1.2174603174603191</v>
      </c>
      <c r="K40" s="6">
        <v>0</v>
      </c>
      <c r="L40" s="18"/>
      <c r="M40" s="16">
        <v>-1.2971111111111077E-2</v>
      </c>
      <c r="N40" s="6">
        <v>-1.4833333333333301E-2</v>
      </c>
      <c r="O40" s="16">
        <v>0.12554307116104904</v>
      </c>
      <c r="P40" s="6">
        <v>0</v>
      </c>
      <c r="Q40" s="18"/>
      <c r="R40" s="16">
        <v>-7.11111111111099E-5</v>
      </c>
      <c r="S40" s="6">
        <v>-5.9999999999999995E-4</v>
      </c>
      <c r="T40" s="6">
        <v>0.88148148148148353</v>
      </c>
      <c r="U40" s="22">
        <v>0</v>
      </c>
    </row>
    <row r="41" spans="1:21" x14ac:dyDescent="0.3">
      <c r="A41" s="3">
        <v>39</v>
      </c>
      <c r="B41" t="s">
        <v>17</v>
      </c>
      <c r="C41" s="16">
        <v>0.10488777777777833</v>
      </c>
      <c r="D41" s="16">
        <v>0.122433333333334</v>
      </c>
      <c r="E41" s="16">
        <v>1.9726841834106212</v>
      </c>
      <c r="F41" s="6">
        <v>3.3030477285796476</v>
      </c>
      <c r="G41" s="18"/>
      <c r="H41" s="16">
        <v>2.698333333333337E-2</v>
      </c>
      <c r="I41" s="6">
        <v>1.3499999999999988E-3</v>
      </c>
      <c r="J41" s="16">
        <v>4.4156118143459961</v>
      </c>
      <c r="K41" s="6">
        <v>1.1708860759493669</v>
      </c>
      <c r="L41" s="18"/>
      <c r="M41" s="16">
        <v>-2.0459999999999957E-2</v>
      </c>
      <c r="N41" s="6">
        <v>-2.96333333333333E-2</v>
      </c>
      <c r="O41" s="16">
        <v>0.30956130483689609</v>
      </c>
      <c r="P41" s="6">
        <v>0</v>
      </c>
      <c r="Q41" s="18"/>
      <c r="R41" s="16">
        <v>1.158888888888889E-3</v>
      </c>
      <c r="S41" s="6">
        <v>-8.3333333333333295E-4</v>
      </c>
      <c r="T41" s="6">
        <v>2.3906666666666676</v>
      </c>
      <c r="U41" s="22">
        <v>0</v>
      </c>
    </row>
    <row r="42" spans="1:21" x14ac:dyDescent="0.3">
      <c r="A42" s="3">
        <v>40</v>
      </c>
      <c r="B42" t="s">
        <v>21</v>
      </c>
      <c r="C42" s="16">
        <v>-7.2744444444444029E-3</v>
      </c>
      <c r="D42" s="16">
        <v>-4.54666666666666E-2</v>
      </c>
      <c r="E42" s="16">
        <v>0.8755086518349503</v>
      </c>
      <c r="F42" s="6">
        <v>1.5228883140254161</v>
      </c>
      <c r="G42" s="18"/>
      <c r="H42" s="16">
        <v>2.2633333333333303E-3</v>
      </c>
      <c r="I42" s="6">
        <v>4.7333333333333038E-4</v>
      </c>
      <c r="J42" s="16">
        <v>1.9430555555555544</v>
      </c>
      <c r="K42" s="6">
        <v>1.1972222222222211</v>
      </c>
      <c r="L42" s="18"/>
      <c r="M42" s="16">
        <v>-4.9364444444444447E-2</v>
      </c>
      <c r="N42" s="6">
        <v>-5.1900000000000009E-2</v>
      </c>
      <c r="O42" s="16">
        <v>0.22504796790511078</v>
      </c>
      <c r="P42" s="6">
        <v>0.18524332810047092</v>
      </c>
      <c r="Q42" s="18"/>
      <c r="R42" s="16">
        <v>-5.0000000000000001E-4</v>
      </c>
      <c r="S42" s="6">
        <v>-5.0000000000000001E-4</v>
      </c>
      <c r="T42" s="6">
        <v>0</v>
      </c>
      <c r="U42" s="22">
        <v>0</v>
      </c>
    </row>
    <row r="43" spans="1:21" x14ac:dyDescent="0.3">
      <c r="A43" s="3">
        <v>41</v>
      </c>
      <c r="B43" t="s">
        <v>38</v>
      </c>
      <c r="C43" s="16">
        <v>0.11420777777777769</v>
      </c>
      <c r="D43" s="16">
        <v>0.22843333333333299</v>
      </c>
      <c r="E43" s="16">
        <v>1.4235146271116597</v>
      </c>
      <c r="F43" s="6">
        <v>4.7893805309734603</v>
      </c>
      <c r="G43" s="18"/>
      <c r="H43" s="16">
        <v>2.591333333333333E-2</v>
      </c>
      <c r="I43" s="6">
        <v>1.908E-2</v>
      </c>
      <c r="J43" s="16">
        <v>3.3205970149253661</v>
      </c>
      <c r="K43" s="6">
        <v>2.7086567164179054</v>
      </c>
      <c r="L43" s="18"/>
      <c r="M43" s="16">
        <v>-2.8906666666666636E-2</v>
      </c>
      <c r="N43" s="6">
        <v>-3.7999999999999999E-2</v>
      </c>
      <c r="O43" s="16">
        <v>0.34894894894894968</v>
      </c>
      <c r="P43" s="6">
        <v>0.14414414414414414</v>
      </c>
      <c r="Q43" s="18"/>
      <c r="R43" s="16">
        <v>2.2466666666666676E-3</v>
      </c>
      <c r="S43" s="6">
        <v>-3.8999999999999998E-3</v>
      </c>
      <c r="T43" s="6">
        <v>1.5760683760683762</v>
      </c>
      <c r="U43" s="22">
        <v>0</v>
      </c>
    </row>
    <row r="44" spans="1:21" x14ac:dyDescent="0.3">
      <c r="A44" s="3">
        <v>42</v>
      </c>
      <c r="B44" t="s">
        <v>46</v>
      </c>
      <c r="C44" s="16">
        <v>1.7599999999999318E-3</v>
      </c>
      <c r="D44" s="16">
        <v>1.6599999999999997E-2</v>
      </c>
      <c r="E44" s="16">
        <v>1.0894915254237252</v>
      </c>
      <c r="F44" s="6">
        <v>5.7417582417582604</v>
      </c>
      <c r="G44" s="18"/>
      <c r="H44" s="16">
        <v>1.3340000000000003E-2</v>
      </c>
      <c r="I44" s="6">
        <v>3.8600000000000001E-3</v>
      </c>
      <c r="J44" s="16">
        <v>5.1257731958762935</v>
      </c>
      <c r="K44" s="6">
        <v>2.1938144329896923</v>
      </c>
      <c r="L44" s="18"/>
      <c r="M44" s="16">
        <v>-1.2461111111111065E-2</v>
      </c>
      <c r="N44" s="6">
        <v>-1.7633333333333299E-2</v>
      </c>
      <c r="O44" s="16">
        <v>0.29332073093887956</v>
      </c>
      <c r="P44" s="6">
        <v>0</v>
      </c>
      <c r="Q44" s="18"/>
      <c r="R44" s="16">
        <v>5.1444444444444324E-4</v>
      </c>
      <c r="S44" s="6">
        <v>6.8000000000000005E-3</v>
      </c>
      <c r="T44" s="6">
        <v>2.7148148148148112</v>
      </c>
      <c r="U44" s="22">
        <v>23.666666666666671</v>
      </c>
    </row>
    <row r="45" spans="1:21" x14ac:dyDescent="0.3">
      <c r="A45" s="3">
        <v>43</v>
      </c>
      <c r="B45" t="s">
        <v>42</v>
      </c>
      <c r="C45" s="16">
        <v>9.3082222222222288E-2</v>
      </c>
      <c r="D45" s="16">
        <v>0.18140000000000001</v>
      </c>
      <c r="E45" s="16">
        <v>1.5547212289762948</v>
      </c>
      <c r="F45" s="6">
        <v>1.844067796610168</v>
      </c>
      <c r="G45" s="18"/>
      <c r="H45" s="16">
        <v>0.41332666666666695</v>
      </c>
      <c r="I45" s="6">
        <v>0.19397</v>
      </c>
      <c r="J45" s="16">
        <v>5.9264203416766028</v>
      </c>
      <c r="K45" s="6">
        <v>3.3119189511323004</v>
      </c>
      <c r="L45" s="18"/>
      <c r="M45" s="16">
        <v>-6.9177777777777328E-3</v>
      </c>
      <c r="N45" s="6">
        <v>2.6033333333333401E-2</v>
      </c>
      <c r="O45" s="16">
        <v>0.52070823710546776</v>
      </c>
      <c r="P45" s="6">
        <v>2.8036951501154821</v>
      </c>
      <c r="Q45" s="18"/>
      <c r="R45" s="16">
        <v>2.1135555555555543E-2</v>
      </c>
      <c r="S45" s="6">
        <v>-5.0000000000000001E-4</v>
      </c>
      <c r="T45" s="6">
        <v>43.271111111111082</v>
      </c>
      <c r="U45" s="22">
        <v>0</v>
      </c>
    </row>
    <row r="46" spans="1:21" x14ac:dyDescent="0.3">
      <c r="A46" s="3">
        <v>44</v>
      </c>
      <c r="B46" t="s">
        <v>13</v>
      </c>
      <c r="C46" s="16">
        <v>0.10085444444444498</v>
      </c>
      <c r="D46" s="16">
        <v>0.13419999999999999</v>
      </c>
      <c r="E46" s="16">
        <v>1.8522910798122136</v>
      </c>
      <c r="F46" s="6">
        <v>5.9716981132075446</v>
      </c>
      <c r="G46" s="18"/>
      <c r="H46" s="16">
        <v>6.9843333333333299E-2</v>
      </c>
      <c r="I46" s="6">
        <v>3.24333333333333E-2</v>
      </c>
      <c r="J46" s="16">
        <v>7.2546268656716206</v>
      </c>
      <c r="K46" s="6">
        <v>3.9044776119402869</v>
      </c>
      <c r="L46" s="18"/>
      <c r="M46" s="16">
        <v>-8.3533333333333324E-3</v>
      </c>
      <c r="N46" s="6">
        <v>-2.1999999999999988E-3</v>
      </c>
      <c r="O46" s="16">
        <v>0.407565011820331</v>
      </c>
      <c r="P46" s="6">
        <v>0.84397163120567387</v>
      </c>
      <c r="Q46" s="18"/>
      <c r="R46" s="16">
        <v>4.0955555555555398E-3</v>
      </c>
      <c r="S46" s="6">
        <v>1.023333333333333E-2</v>
      </c>
      <c r="T46" s="6">
        <v>3.4573333333333194</v>
      </c>
      <c r="U46" s="22">
        <v>7.1399999999999864</v>
      </c>
    </row>
    <row r="47" spans="1:21" x14ac:dyDescent="0.3">
      <c r="A47" s="3">
        <v>45</v>
      </c>
      <c r="B47" t="s">
        <v>31</v>
      </c>
      <c r="C47" s="16">
        <v>1.2886666666666631E-2</v>
      </c>
      <c r="D47" s="16">
        <v>8.0666666666665988E-3</v>
      </c>
      <c r="E47" s="16">
        <v>2.1969040247677949</v>
      </c>
      <c r="F47" s="6">
        <v>1.7471620227038158</v>
      </c>
      <c r="G47" s="18"/>
      <c r="H47" s="16">
        <v>-5.8333333333333295E-4</v>
      </c>
      <c r="I47" s="6">
        <v>-1.4E-3</v>
      </c>
      <c r="J47" s="16">
        <v>0.58333333333333359</v>
      </c>
      <c r="K47" s="6">
        <v>0</v>
      </c>
      <c r="L47" s="18"/>
      <c r="M47" s="16">
        <v>-7.8031111111111134E-2</v>
      </c>
      <c r="N47" s="6">
        <v>-6.1766666666666706E-2</v>
      </c>
      <c r="O47" s="16">
        <v>0.17076396268744809</v>
      </c>
      <c r="P47" s="6">
        <v>0.34360609280906795</v>
      </c>
      <c r="Q47" s="18"/>
      <c r="R47" s="16">
        <v>6.9222222222222233E-4</v>
      </c>
      <c r="S47" s="6">
        <v>-2.9999999999999997E-4</v>
      </c>
      <c r="T47" s="6">
        <v>3.3074074074074078</v>
      </c>
      <c r="U47" s="22">
        <v>0</v>
      </c>
    </row>
    <row r="48" spans="1:21" x14ac:dyDescent="0.3">
      <c r="A48" s="3">
        <v>46</v>
      </c>
      <c r="B48" t="s">
        <v>37</v>
      </c>
      <c r="C48" s="16">
        <v>2.2790000000000032E-2</v>
      </c>
      <c r="D48" s="16">
        <v>5.7533333333333395E-2</v>
      </c>
      <c r="E48" s="16">
        <v>2.8782967032967113</v>
      </c>
      <c r="F48" s="6">
        <v>4.1303956834532398</v>
      </c>
      <c r="G48" s="18"/>
      <c r="H48" s="16">
        <v>0.15385000000000004</v>
      </c>
      <c r="I48" s="6">
        <v>1.2043333333333406E-2</v>
      </c>
      <c r="J48" s="16">
        <v>2.8506415396952698</v>
      </c>
      <c r="K48" s="6">
        <v>1.1448676824378519</v>
      </c>
      <c r="L48" s="18"/>
      <c r="M48" s="16">
        <v>-1.7914444444444479E-2</v>
      </c>
      <c r="N48" s="6">
        <v>-1.1433333333333399E-2</v>
      </c>
      <c r="O48" s="16">
        <v>0.18816717019133897</v>
      </c>
      <c r="P48" s="6">
        <v>0.48187311178247511</v>
      </c>
      <c r="Q48" s="18"/>
      <c r="R48" s="16">
        <v>4.8355555555555565E-3</v>
      </c>
      <c r="S48" s="6">
        <v>-1.5E-3</v>
      </c>
      <c r="T48" s="6">
        <v>4.2237037037037037</v>
      </c>
      <c r="U48" s="22">
        <v>0</v>
      </c>
    </row>
    <row r="49" spans="1:21" x14ac:dyDescent="0.3">
      <c r="A49" s="3">
        <v>47</v>
      </c>
      <c r="B49" t="s">
        <v>7</v>
      </c>
      <c r="C49" s="16">
        <v>9.8640000000000311E-2</v>
      </c>
      <c r="D49" s="16">
        <v>0.29883333333333406</v>
      </c>
      <c r="E49" s="16">
        <v>1.5168908296943258</v>
      </c>
      <c r="F49" s="6">
        <v>1.3489531405782653</v>
      </c>
      <c r="G49" s="18"/>
      <c r="H49" s="16">
        <v>-2.2000000000000001E-3</v>
      </c>
      <c r="I49" s="6">
        <v>-2.2000000000000001E-3</v>
      </c>
      <c r="J49" s="16">
        <v>0</v>
      </c>
      <c r="K49" s="6">
        <v>0</v>
      </c>
      <c r="L49" s="18"/>
      <c r="M49" s="16">
        <v>-3.8360000000000047E-2</v>
      </c>
      <c r="N49" s="6">
        <v>1.799999999999996E-3</v>
      </c>
      <c r="O49" s="16">
        <v>0.15999999999999964</v>
      </c>
      <c r="P49" s="6">
        <v>1.0394160583941605</v>
      </c>
      <c r="Q49" s="18"/>
      <c r="R49" s="16">
        <v>-4.0000000000000002E-4</v>
      </c>
      <c r="S49" s="6">
        <v>-4.0000000000000002E-4</v>
      </c>
      <c r="T49" s="6">
        <v>0</v>
      </c>
      <c r="U49" s="22">
        <v>0</v>
      </c>
    </row>
    <row r="50" spans="1:21" x14ac:dyDescent="0.3">
      <c r="A50" s="3">
        <v>48</v>
      </c>
      <c r="B50" t="s">
        <v>5</v>
      </c>
      <c r="C50" s="16">
        <v>5.9955555555555672E-2</v>
      </c>
      <c r="D50" s="16">
        <v>0.153766666666667</v>
      </c>
      <c r="E50" s="16">
        <v>2.5777777777777811</v>
      </c>
      <c r="F50" s="6">
        <v>4.0306603773584992</v>
      </c>
      <c r="G50" s="18"/>
      <c r="H50" s="16">
        <v>2.721666666666667E-2</v>
      </c>
      <c r="I50" s="6">
        <v>9.686666666666701E-3</v>
      </c>
      <c r="J50" s="16">
        <v>7.4801587301587311</v>
      </c>
      <c r="K50" s="6">
        <v>3.3063492063492146</v>
      </c>
      <c r="L50" s="18"/>
      <c r="M50" s="16">
        <v>-0.10327777777777811</v>
      </c>
      <c r="N50" s="6">
        <v>-9.4033333333333705E-2</v>
      </c>
      <c r="O50" s="16">
        <v>0.27558257345491333</v>
      </c>
      <c r="P50" s="6">
        <v>0.34042553191489261</v>
      </c>
      <c r="Q50" s="18"/>
      <c r="R50" s="16">
        <v>5.1544444444444563E-3</v>
      </c>
      <c r="S50" s="6">
        <v>7.1333333333333006E-3</v>
      </c>
      <c r="T50" s="6">
        <v>2.3930930930930963</v>
      </c>
      <c r="U50" s="22">
        <v>2.9279279279279189</v>
      </c>
    </row>
    <row r="51" spans="1:21" x14ac:dyDescent="0.3">
      <c r="A51" s="3">
        <v>49</v>
      </c>
      <c r="B51" t="s">
        <v>44</v>
      </c>
      <c r="C51" s="16">
        <v>6.1263333333333232E-2</v>
      </c>
      <c r="D51" s="16">
        <v>6.5799999999999997E-2</v>
      </c>
      <c r="E51" s="16">
        <v>2.7655139289145021</v>
      </c>
      <c r="F51" s="6">
        <v>2.1340845070422567</v>
      </c>
      <c r="G51" s="18"/>
      <c r="H51" s="16">
        <v>1.295666666666667E-2</v>
      </c>
      <c r="I51" s="6">
        <v>6.4500000000000009E-3</v>
      </c>
      <c r="J51" s="16">
        <v>5.0489583333333341</v>
      </c>
      <c r="K51" s="6">
        <v>3.015625</v>
      </c>
      <c r="L51" s="18"/>
      <c r="M51" s="16">
        <v>-3.711888888888891E-2</v>
      </c>
      <c r="N51" s="6">
        <v>-2.0666666666666698E-2</v>
      </c>
      <c r="O51" s="16">
        <v>0.21302709069493533</v>
      </c>
      <c r="P51" s="6">
        <v>0.56183745583038835</v>
      </c>
      <c r="Q51" s="18"/>
      <c r="R51" s="16">
        <v>6.7777777777777986E-4</v>
      </c>
      <c r="S51" s="6">
        <v>-8.0000000000000004E-4</v>
      </c>
      <c r="T51" s="6">
        <v>1.8472222222222248</v>
      </c>
      <c r="U51" s="22">
        <v>0</v>
      </c>
    </row>
    <row r="52" spans="1:21" x14ac:dyDescent="0.3">
      <c r="A52" s="3">
        <v>50</v>
      </c>
      <c r="B52" t="s">
        <v>34</v>
      </c>
      <c r="C52" s="16">
        <v>0.13423999999999997</v>
      </c>
      <c r="D52" s="16">
        <v>0.18713333333333299</v>
      </c>
      <c r="E52" s="16">
        <v>3.1106918238993706</v>
      </c>
      <c r="F52" s="6">
        <v>1.7020249221183785</v>
      </c>
      <c r="G52" s="18"/>
      <c r="H52" s="16">
        <v>2.7320000000000101E-2</v>
      </c>
      <c r="I52" s="6">
        <v>1.1300000000000008E-3</v>
      </c>
      <c r="J52" s="16">
        <v>3.4105882352941337</v>
      </c>
      <c r="K52" s="6">
        <v>1.0997058823529415</v>
      </c>
      <c r="L52" s="18"/>
      <c r="M52" s="16">
        <v>-2.1826666666666668E-2</v>
      </c>
      <c r="N52" s="6">
        <v>-2.8400000000000002E-2</v>
      </c>
      <c r="O52" s="16">
        <v>0.23145539906103288</v>
      </c>
      <c r="P52" s="6">
        <v>0</v>
      </c>
      <c r="Q52" s="18"/>
      <c r="R52" s="16">
        <v>2.4555555555555567E-3</v>
      </c>
      <c r="S52" s="6">
        <v>-5.9999999999999995E-4</v>
      </c>
      <c r="T52" s="6">
        <v>5.0925925925925943</v>
      </c>
      <c r="U52" s="22">
        <v>0</v>
      </c>
    </row>
    <row r="53" spans="1:21" x14ac:dyDescent="0.3">
      <c r="A53" s="3">
        <v>51</v>
      </c>
      <c r="B53" t="s">
        <v>50</v>
      </c>
      <c r="C53" s="16">
        <v>1.319333333333335E-2</v>
      </c>
      <c r="D53" s="16">
        <v>1.6566666666666702E-2</v>
      </c>
      <c r="E53" s="16">
        <v>2.1779761904761918</v>
      </c>
      <c r="F53" s="6">
        <v>3.9423480083857383</v>
      </c>
      <c r="G53" s="18"/>
      <c r="H53" s="16">
        <v>2.6186666666666664E-2</v>
      </c>
      <c r="I53" s="6">
        <v>4.9799999999999706E-3</v>
      </c>
      <c r="J53" s="16">
        <v>3.9645283018867934</v>
      </c>
      <c r="K53" s="6">
        <v>1.5637735849056573</v>
      </c>
      <c r="L53" s="18"/>
      <c r="M53" s="16">
        <v>-1.4096666666666677E-2</v>
      </c>
      <c r="N53" s="6">
        <v>-2.4733333333333371E-2</v>
      </c>
      <c r="O53" s="16">
        <v>0.501297169811321</v>
      </c>
      <c r="P53" s="6">
        <v>0.12499999999999974</v>
      </c>
      <c r="Q53" s="18"/>
      <c r="R53" s="16">
        <v>6.2158888888889E-2</v>
      </c>
      <c r="S53" s="6">
        <v>3.1000000000000029E-3</v>
      </c>
      <c r="T53" s="6">
        <v>170.52424242424257</v>
      </c>
      <c r="U53" s="22">
        <v>9.454545454545455</v>
      </c>
    </row>
    <row r="54" spans="1:21" x14ac:dyDescent="0.3">
      <c r="A54" s="40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</row>
  </sheetData>
  <mergeCells count="6">
    <mergeCell ref="A1:A2"/>
    <mergeCell ref="B1:B2"/>
    <mergeCell ref="C1:F1"/>
    <mergeCell ref="H1:K1"/>
    <mergeCell ref="M1:P1"/>
    <mergeCell ref="R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52"/>
  <sheetViews>
    <sheetView topLeftCell="L1" workbookViewId="0">
      <selection activeCell="V1" sqref="V1:V1048576"/>
    </sheetView>
  </sheetViews>
  <sheetFormatPr defaultRowHeight="14.4" x14ac:dyDescent="0.3"/>
  <sheetData>
    <row r="1" spans="1:22" s="1" customFormat="1" ht="43.2" x14ac:dyDescent="0.3">
      <c r="B1" s="1" t="s">
        <v>0</v>
      </c>
      <c r="C1" s="1" t="s">
        <v>84</v>
      </c>
      <c r="D1" s="1" t="s">
        <v>83</v>
      </c>
      <c r="E1" s="1" t="s">
        <v>82</v>
      </c>
      <c r="F1" s="1" t="s">
        <v>81</v>
      </c>
      <c r="G1" s="1" t="s">
        <v>80</v>
      </c>
      <c r="H1" s="1" t="s">
        <v>79</v>
      </c>
      <c r="I1" s="1" t="s">
        <v>78</v>
      </c>
      <c r="J1" s="1" t="s">
        <v>77</v>
      </c>
      <c r="K1" s="1" t="s">
        <v>76</v>
      </c>
      <c r="L1" s="1" t="s">
        <v>75</v>
      </c>
      <c r="M1" s="1" t="s">
        <v>74</v>
      </c>
      <c r="N1" s="1" t="s">
        <v>73</v>
      </c>
      <c r="O1" s="1" t="s">
        <v>72</v>
      </c>
      <c r="P1" s="1" t="s">
        <v>71</v>
      </c>
      <c r="Q1" s="1" t="s">
        <v>70</v>
      </c>
      <c r="R1" s="1" t="s">
        <v>69</v>
      </c>
      <c r="S1" s="1" t="s">
        <v>68</v>
      </c>
      <c r="T1" s="1" t="s">
        <v>67</v>
      </c>
      <c r="U1" s="1" t="s">
        <v>66</v>
      </c>
      <c r="V1" s="1" t="s">
        <v>65</v>
      </c>
    </row>
    <row r="2" spans="1:22" x14ac:dyDescent="0.3">
      <c r="A2">
        <v>1</v>
      </c>
      <c r="B2" t="s">
        <v>41</v>
      </c>
      <c r="C2">
        <v>0.345436666666667</v>
      </c>
      <c r="D2">
        <v>0.42122666666666703</v>
      </c>
      <c r="E2">
        <v>0.46774666666666698</v>
      </c>
      <c r="F2">
        <v>0.32679999999999998</v>
      </c>
      <c r="G2">
        <v>0.26469999999999999</v>
      </c>
      <c r="H2">
        <v>0</v>
      </c>
      <c r="I2">
        <v>4.8300000000000001E-3</v>
      </c>
      <c r="J2">
        <v>0</v>
      </c>
      <c r="K2">
        <v>0</v>
      </c>
      <c r="L2">
        <v>5.5999999999999999E-3</v>
      </c>
      <c r="M2">
        <v>2.97E-3</v>
      </c>
      <c r="N2">
        <v>5.4633333333333296E-3</v>
      </c>
      <c r="O2">
        <v>3.79E-3</v>
      </c>
      <c r="P2">
        <v>1.1900000000000001E-2</v>
      </c>
      <c r="Q2">
        <v>1.39666666666667E-2</v>
      </c>
      <c r="R2">
        <v>0</v>
      </c>
      <c r="S2">
        <v>0</v>
      </c>
      <c r="T2">
        <v>0</v>
      </c>
      <c r="U2">
        <v>0.18440000000000001</v>
      </c>
      <c r="V2" s="38">
        <v>5.0000000000000001E-4</v>
      </c>
    </row>
    <row r="3" spans="1:22" x14ac:dyDescent="0.3">
      <c r="A3">
        <v>2</v>
      </c>
      <c r="B3" t="s">
        <v>9</v>
      </c>
      <c r="C3">
        <v>2.5156666666666699E-2</v>
      </c>
      <c r="D3">
        <v>4.3063333333333301E-2</v>
      </c>
      <c r="E3">
        <v>8.3290000000000003E-2</v>
      </c>
      <c r="F3">
        <v>0.11296666666666701</v>
      </c>
      <c r="G3">
        <v>3.3233333333333302E-2</v>
      </c>
      <c r="H3">
        <v>0.14696999999999999</v>
      </c>
      <c r="I3">
        <v>0.16968333333333299</v>
      </c>
      <c r="J3">
        <v>0.182933333333333</v>
      </c>
      <c r="K3">
        <v>0.14074</v>
      </c>
      <c r="L3">
        <v>0.144866666666667</v>
      </c>
      <c r="M3">
        <v>1.50633333333333E-2</v>
      </c>
      <c r="N3">
        <v>2.1393333333333299E-2</v>
      </c>
      <c r="O3">
        <v>1.494E-2</v>
      </c>
      <c r="P3">
        <v>0</v>
      </c>
      <c r="Q3">
        <v>6.1533333333333301E-2</v>
      </c>
      <c r="R3">
        <v>0</v>
      </c>
      <c r="S3">
        <v>0.269336666666667</v>
      </c>
      <c r="T3">
        <v>6.0186666666666701E-2</v>
      </c>
      <c r="U3">
        <v>0</v>
      </c>
      <c r="V3">
        <v>1.25666666666667E-2</v>
      </c>
    </row>
    <row r="4" spans="1:22" x14ac:dyDescent="0.3">
      <c r="A4">
        <v>3</v>
      </c>
      <c r="B4" t="s">
        <v>26</v>
      </c>
      <c r="C4">
        <v>9.2883333333333304E-2</v>
      </c>
      <c r="D4">
        <v>7.2419999999999998E-2</v>
      </c>
      <c r="E4">
        <v>9.4626666666666706E-2</v>
      </c>
      <c r="F4">
        <v>0.13439999999999999</v>
      </c>
      <c r="G4">
        <v>4.2233333333333303E-2</v>
      </c>
      <c r="H4">
        <v>2.11966666666667E-2</v>
      </c>
      <c r="I4">
        <v>1.1133333333333301E-2</v>
      </c>
      <c r="J4">
        <v>3.2140000000000002E-2</v>
      </c>
      <c r="K4">
        <v>2.358E-2</v>
      </c>
      <c r="L4">
        <v>4.0033333333333303E-2</v>
      </c>
      <c r="M4">
        <v>1.9029999999999998E-2</v>
      </c>
      <c r="N4">
        <v>1.10233333333333E-2</v>
      </c>
      <c r="O4">
        <v>8.9200000000000008E-3</v>
      </c>
      <c r="P4">
        <v>1.55E-2</v>
      </c>
      <c r="Q4">
        <v>3.2833333333333298E-2</v>
      </c>
      <c r="R4">
        <v>5.6266666666666696E-3</v>
      </c>
      <c r="S4">
        <v>6.7966666666666696E-3</v>
      </c>
      <c r="T4">
        <v>6.8366666666666697E-3</v>
      </c>
      <c r="U4">
        <v>0</v>
      </c>
      <c r="V4">
        <v>1.83333333333333E-3</v>
      </c>
    </row>
    <row r="5" spans="1:22" x14ac:dyDescent="0.3">
      <c r="A5">
        <v>4</v>
      </c>
      <c r="B5" t="s">
        <v>40</v>
      </c>
      <c r="C5">
        <v>0.27872000000000002</v>
      </c>
      <c r="D5">
        <v>0.26347999999999999</v>
      </c>
      <c r="E5">
        <v>0.34691666666666698</v>
      </c>
      <c r="F5">
        <v>0.469766666666667</v>
      </c>
      <c r="G5">
        <v>0.15436666666666701</v>
      </c>
      <c r="H5">
        <v>3.98333333333333E-3</v>
      </c>
      <c r="I5">
        <v>0</v>
      </c>
      <c r="J5">
        <v>5.5666666666666703E-3</v>
      </c>
      <c r="K5">
        <v>0</v>
      </c>
      <c r="L5">
        <v>7.4000000000000003E-3</v>
      </c>
      <c r="M5">
        <v>1.7166666666666699E-3</v>
      </c>
      <c r="N5">
        <v>4.3866666666666698E-3</v>
      </c>
      <c r="O5">
        <v>8.1766666666666706E-3</v>
      </c>
      <c r="P5">
        <v>0</v>
      </c>
      <c r="Q5">
        <v>1.55E-2</v>
      </c>
      <c r="R5">
        <v>0</v>
      </c>
      <c r="S5">
        <v>4.5666666666666703E-3</v>
      </c>
      <c r="T5">
        <v>5.4200000000000003E-3</v>
      </c>
      <c r="U5">
        <v>0</v>
      </c>
      <c r="V5">
        <v>2.8666666666666701E-3</v>
      </c>
    </row>
    <row r="6" spans="1:22" x14ac:dyDescent="0.3">
      <c r="A6">
        <v>5</v>
      </c>
      <c r="B6" t="s">
        <v>2</v>
      </c>
      <c r="C6">
        <v>6.5706666666666705E-2</v>
      </c>
      <c r="D6">
        <v>0.160783333333333</v>
      </c>
      <c r="E6">
        <v>0.18505666666666701</v>
      </c>
      <c r="F6">
        <v>0.22786666666666699</v>
      </c>
      <c r="G6">
        <v>5.6533333333333297E-2</v>
      </c>
      <c r="H6">
        <v>3.5866666666666699E-3</v>
      </c>
      <c r="I6">
        <v>1.0113333333333301E-2</v>
      </c>
      <c r="J6">
        <v>1.77166666666667E-2</v>
      </c>
      <c r="K6">
        <v>1.38866666666667E-2</v>
      </c>
      <c r="L6">
        <v>4.1999999999999997E-3</v>
      </c>
      <c r="M6">
        <v>2.8490000000000001E-2</v>
      </c>
      <c r="N6">
        <v>4.0926666666666701E-2</v>
      </c>
      <c r="O6">
        <v>4.845E-2</v>
      </c>
      <c r="P6">
        <v>4.8533333333333303E-2</v>
      </c>
      <c r="Q6">
        <v>0.14256666666666701</v>
      </c>
      <c r="R6">
        <v>9.2599999999999991E-3</v>
      </c>
      <c r="S6">
        <v>6.4866666666666701E-3</v>
      </c>
      <c r="T6">
        <v>1.08166666666667E-2</v>
      </c>
      <c r="U6">
        <v>1.0833333333333301E-2</v>
      </c>
      <c r="V6">
        <v>3.7000000000000002E-3</v>
      </c>
    </row>
    <row r="7" spans="1:22" x14ac:dyDescent="0.3">
      <c r="A7">
        <v>6</v>
      </c>
      <c r="B7" t="s">
        <v>19</v>
      </c>
      <c r="C7">
        <v>5.994E-2</v>
      </c>
      <c r="D7">
        <v>5.0986666666666701E-2</v>
      </c>
      <c r="E7">
        <v>0.33562666666666702</v>
      </c>
      <c r="F7">
        <v>0.12820000000000001</v>
      </c>
      <c r="G7">
        <v>3.9899999999999998E-2</v>
      </c>
      <c r="H7">
        <v>9.3733333333333307E-3</v>
      </c>
      <c r="I7">
        <v>0</v>
      </c>
      <c r="J7">
        <v>1.1593333333333299E-2</v>
      </c>
      <c r="K7">
        <v>0</v>
      </c>
      <c r="L7">
        <v>6.3333333333333297E-3</v>
      </c>
      <c r="M7">
        <v>6.3266666666666697E-3</v>
      </c>
      <c r="N7">
        <v>0</v>
      </c>
      <c r="O7">
        <v>8.0099999999999998E-3</v>
      </c>
      <c r="P7">
        <v>0</v>
      </c>
      <c r="Q7">
        <v>3.1600000000000003E-2</v>
      </c>
      <c r="R7">
        <v>3.46333333333333E-3</v>
      </c>
      <c r="S7">
        <v>0</v>
      </c>
      <c r="T7">
        <v>4.3866666666666698E-3</v>
      </c>
      <c r="U7">
        <v>0</v>
      </c>
      <c r="V7">
        <v>1.2999999999999999E-3</v>
      </c>
    </row>
    <row r="8" spans="1:22" x14ac:dyDescent="0.3">
      <c r="A8">
        <v>7</v>
      </c>
      <c r="B8" t="s">
        <v>12</v>
      </c>
      <c r="C8">
        <v>8.1823333333333303E-2</v>
      </c>
      <c r="D8">
        <v>0.14715666666666699</v>
      </c>
      <c r="E8">
        <v>0.14643999999999999</v>
      </c>
      <c r="F8">
        <v>0.1353</v>
      </c>
      <c r="G8">
        <v>0.1003</v>
      </c>
      <c r="H8">
        <v>0</v>
      </c>
      <c r="I8">
        <v>0</v>
      </c>
      <c r="J8">
        <v>0</v>
      </c>
      <c r="K8">
        <v>0</v>
      </c>
      <c r="L8">
        <v>2.2000000000000001E-3</v>
      </c>
      <c r="M8">
        <v>0</v>
      </c>
      <c r="N8">
        <v>7.5766666666666699E-3</v>
      </c>
      <c r="O8">
        <v>1.43433333333333E-2</v>
      </c>
      <c r="P8">
        <v>4.7466666666666699E-2</v>
      </c>
      <c r="Q8">
        <v>4.5666666666666703E-2</v>
      </c>
      <c r="R8">
        <v>0</v>
      </c>
      <c r="S8">
        <v>0</v>
      </c>
      <c r="T8">
        <v>0</v>
      </c>
      <c r="U8">
        <v>0</v>
      </c>
      <c r="V8" s="38">
        <v>4.0000000000000002E-4</v>
      </c>
    </row>
    <row r="9" spans="1:22" x14ac:dyDescent="0.3">
      <c r="A9">
        <v>8</v>
      </c>
      <c r="B9" t="s">
        <v>15</v>
      </c>
      <c r="C9">
        <v>0.33830666666666698</v>
      </c>
      <c r="D9">
        <v>0.34230666666666698</v>
      </c>
      <c r="E9">
        <v>0.36064000000000002</v>
      </c>
      <c r="F9">
        <v>0.40849999999999997</v>
      </c>
      <c r="G9">
        <v>0.21606666666666699</v>
      </c>
      <c r="H9">
        <v>0</v>
      </c>
      <c r="I9">
        <v>5.0699999999999999E-3</v>
      </c>
      <c r="J9">
        <v>0</v>
      </c>
      <c r="K9">
        <v>0</v>
      </c>
      <c r="L9">
        <v>3.0999999999999999E-3</v>
      </c>
      <c r="M9">
        <v>7.7299999999999999E-3</v>
      </c>
      <c r="N9">
        <v>7.5933333333333304E-3</v>
      </c>
      <c r="O9">
        <v>9.5566666666666699E-3</v>
      </c>
      <c r="P9">
        <v>0</v>
      </c>
      <c r="Q9">
        <v>3.8800000000000001E-2</v>
      </c>
      <c r="R9">
        <v>1.91666666666667E-3</v>
      </c>
      <c r="S9">
        <v>1.14933333333333E-2</v>
      </c>
      <c r="T9">
        <v>0</v>
      </c>
      <c r="U9">
        <v>0</v>
      </c>
      <c r="V9" s="38">
        <v>4.0000000000000002E-4</v>
      </c>
    </row>
    <row r="10" spans="1:22" x14ac:dyDescent="0.3">
      <c r="A10">
        <v>9</v>
      </c>
      <c r="B10" t="s">
        <v>11</v>
      </c>
      <c r="C10">
        <v>0.82599333333333302</v>
      </c>
      <c r="D10">
        <v>0.94166666666666698</v>
      </c>
      <c r="E10">
        <v>0.81174333333333304</v>
      </c>
      <c r="F10">
        <v>0.794333333333333</v>
      </c>
      <c r="G10">
        <v>0.46183333333333298</v>
      </c>
      <c r="H10">
        <v>0</v>
      </c>
      <c r="I10">
        <v>0</v>
      </c>
      <c r="J10">
        <v>8.0766666666666695E-3</v>
      </c>
      <c r="K10">
        <v>0</v>
      </c>
      <c r="L10">
        <v>2.0333333333333301E-3</v>
      </c>
      <c r="M10">
        <v>0</v>
      </c>
      <c r="N10">
        <v>0</v>
      </c>
      <c r="O10">
        <v>5.12666666666667E-3</v>
      </c>
      <c r="P10">
        <v>0</v>
      </c>
      <c r="Q10">
        <v>4.0566666666666702E-2</v>
      </c>
      <c r="R10">
        <v>0</v>
      </c>
      <c r="S10">
        <v>0</v>
      </c>
      <c r="T10">
        <v>2.9499999999999999E-3</v>
      </c>
      <c r="U10">
        <v>0</v>
      </c>
      <c r="V10">
        <v>4.6666666666666699E-4</v>
      </c>
    </row>
    <row r="11" spans="1:22" x14ac:dyDescent="0.3">
      <c r="A11">
        <v>10</v>
      </c>
      <c r="B11" t="s">
        <v>27</v>
      </c>
      <c r="C11">
        <v>0.13896</v>
      </c>
      <c r="D11">
        <v>0.11795333333333299</v>
      </c>
      <c r="E11">
        <v>0.372966666666667</v>
      </c>
      <c r="F11">
        <v>0.26333333333333298</v>
      </c>
      <c r="G11">
        <v>0.155733333333333</v>
      </c>
      <c r="H11">
        <v>7.8633333333333298E-3</v>
      </c>
      <c r="I11">
        <v>9.0566666666666695E-3</v>
      </c>
      <c r="J11">
        <v>9.7699999999999992E-3</v>
      </c>
      <c r="K11">
        <v>5.47E-3</v>
      </c>
      <c r="L11">
        <v>2.5000000000000001E-3</v>
      </c>
      <c r="M11">
        <v>1.0026666666666699E-2</v>
      </c>
      <c r="N11">
        <v>6.78666666666667E-3</v>
      </c>
      <c r="O11">
        <v>6.6266666666666696E-3</v>
      </c>
      <c r="P11">
        <v>9.3333333333333306E-3</v>
      </c>
      <c r="Q11">
        <v>2.7300000000000001E-2</v>
      </c>
      <c r="R11">
        <v>3.13333333333333E-3</v>
      </c>
      <c r="S11">
        <v>0</v>
      </c>
      <c r="T11">
        <v>5.1433333333333296E-3</v>
      </c>
      <c r="U11">
        <v>3.5666666666666698E-3</v>
      </c>
      <c r="V11" s="38">
        <v>5.9999999999999995E-4</v>
      </c>
    </row>
    <row r="12" spans="1:22" x14ac:dyDescent="0.3">
      <c r="A12">
        <v>11</v>
      </c>
      <c r="B12" t="s">
        <v>14</v>
      </c>
      <c r="C12">
        <v>0.283936666666667</v>
      </c>
      <c r="D12">
        <v>0.51412666666666695</v>
      </c>
      <c r="E12">
        <v>0.470046666666667</v>
      </c>
      <c r="F12">
        <v>0.40550000000000003</v>
      </c>
      <c r="G12">
        <v>0.31166666666666698</v>
      </c>
      <c r="H12">
        <v>0</v>
      </c>
      <c r="I12">
        <v>6.4099999999999999E-3</v>
      </c>
      <c r="J12">
        <v>5.3766666666666702E-3</v>
      </c>
      <c r="K12">
        <v>6.0533333333333298E-3</v>
      </c>
      <c r="L12">
        <v>2.3E-3</v>
      </c>
      <c r="M12">
        <v>4.3666666666666697E-3</v>
      </c>
      <c r="N12">
        <v>8.6766666666666693E-3</v>
      </c>
      <c r="O12">
        <v>1.3509999999999999E-2</v>
      </c>
      <c r="P12">
        <v>2.3800000000000002E-2</v>
      </c>
      <c r="Q12">
        <v>3.9866666666666703E-2</v>
      </c>
      <c r="R12">
        <v>0</v>
      </c>
      <c r="S12">
        <v>0</v>
      </c>
      <c r="T12">
        <v>5.3766666666666702E-3</v>
      </c>
      <c r="U12">
        <v>0</v>
      </c>
      <c r="V12" s="38">
        <v>5.9999999999999995E-4</v>
      </c>
    </row>
    <row r="13" spans="1:22" x14ac:dyDescent="0.3">
      <c r="A13">
        <v>12</v>
      </c>
      <c r="B13" t="s">
        <v>1</v>
      </c>
      <c r="C13">
        <v>1.44266666666667E-2</v>
      </c>
      <c r="D13">
        <v>1.8376666666666701E-2</v>
      </c>
      <c r="E13">
        <v>3.6206666666666699E-2</v>
      </c>
      <c r="F13">
        <v>1.01E-2</v>
      </c>
      <c r="G13">
        <v>1.92333333333333E-2</v>
      </c>
      <c r="H13">
        <v>0</v>
      </c>
      <c r="I13">
        <v>0</v>
      </c>
      <c r="J13">
        <v>2.8566666666666701E-3</v>
      </c>
      <c r="K13">
        <v>0</v>
      </c>
      <c r="L13">
        <v>2.13333333333333E-3</v>
      </c>
      <c r="M13">
        <v>9.8949999999999996E-2</v>
      </c>
      <c r="N13">
        <v>0.22875999999999999</v>
      </c>
      <c r="O13">
        <v>0.16103999999999999</v>
      </c>
      <c r="P13">
        <v>0.19196666666666701</v>
      </c>
      <c r="Q13">
        <v>0.36503333333333299</v>
      </c>
      <c r="R13">
        <v>3.7249999999999998E-2</v>
      </c>
      <c r="S13">
        <v>0.20086999999999999</v>
      </c>
      <c r="T13">
        <v>7.0363333333333306E-2</v>
      </c>
      <c r="U13">
        <v>4.6899999999999997E-2</v>
      </c>
      <c r="V13">
        <v>9.4700000000000006E-2</v>
      </c>
    </row>
    <row r="14" spans="1:22" x14ac:dyDescent="0.3">
      <c r="A14">
        <v>13</v>
      </c>
      <c r="B14" t="s">
        <v>43</v>
      </c>
      <c r="C14">
        <v>1.0703333333333301E-2</v>
      </c>
      <c r="D14">
        <v>2.8733333333333302E-3</v>
      </c>
      <c r="E14">
        <v>1.651E-2</v>
      </c>
      <c r="F14">
        <v>4.2200000000000001E-2</v>
      </c>
      <c r="G14">
        <v>7.0666666666666699E-3</v>
      </c>
      <c r="H14">
        <v>1.29866666666667E-2</v>
      </c>
      <c r="I14">
        <v>4.0543333333333299E-2</v>
      </c>
      <c r="J14">
        <v>2.7480000000000001E-2</v>
      </c>
      <c r="K14">
        <v>4.36E-2</v>
      </c>
      <c r="L14">
        <v>1.11666666666667E-2</v>
      </c>
      <c r="M14">
        <v>5.5333333333333302E-3</v>
      </c>
      <c r="N14">
        <v>4.0666666666666698E-3</v>
      </c>
      <c r="O14">
        <v>7.6400000000000001E-3</v>
      </c>
      <c r="P14">
        <v>1.1900000000000001E-2</v>
      </c>
      <c r="Q14">
        <v>1.41E-2</v>
      </c>
      <c r="R14">
        <v>4.5033333333333297E-3</v>
      </c>
      <c r="S14">
        <v>0</v>
      </c>
      <c r="T14">
        <v>1.2783333333333299E-2</v>
      </c>
      <c r="U14">
        <v>1.1900000000000001E-2</v>
      </c>
      <c r="V14">
        <v>1.66666666666667E-3</v>
      </c>
    </row>
    <row r="15" spans="1:22" x14ac:dyDescent="0.3">
      <c r="A15">
        <v>14</v>
      </c>
      <c r="B15" t="s">
        <v>16</v>
      </c>
      <c r="C15">
        <v>0.25142666666666702</v>
      </c>
      <c r="D15">
        <v>0.32756000000000002</v>
      </c>
      <c r="E15">
        <v>0.329803333333333</v>
      </c>
      <c r="F15">
        <v>0.3261</v>
      </c>
      <c r="G15">
        <v>0.14126666666666701</v>
      </c>
      <c r="H15">
        <v>2.1966666666666701E-3</v>
      </c>
      <c r="I15">
        <v>6.3266666666666697E-3</v>
      </c>
      <c r="J15">
        <v>1.5713333333333301E-2</v>
      </c>
      <c r="K15">
        <v>2.2616666666666702E-2</v>
      </c>
      <c r="L15">
        <v>1.5E-3</v>
      </c>
      <c r="M15">
        <v>3.18566666666667E-2</v>
      </c>
      <c r="N15">
        <v>2.1136666666666699E-2</v>
      </c>
      <c r="O15">
        <v>2.1409999999999998E-2</v>
      </c>
      <c r="P15">
        <v>5.1999999999999998E-3</v>
      </c>
      <c r="Q15">
        <v>5.4733333333333301E-2</v>
      </c>
      <c r="R15">
        <v>1.01E-3</v>
      </c>
      <c r="S15">
        <v>0</v>
      </c>
      <c r="T15">
        <v>3.8633333333333302E-3</v>
      </c>
      <c r="U15">
        <v>0.13539999999999999</v>
      </c>
      <c r="V15" s="38">
        <v>2.9999999999999997E-4</v>
      </c>
    </row>
    <row r="16" spans="1:22" x14ac:dyDescent="0.3">
      <c r="A16">
        <v>15</v>
      </c>
      <c r="B16" t="s">
        <v>23</v>
      </c>
      <c r="C16">
        <v>9.0950000000000003E-2</v>
      </c>
      <c r="D16">
        <v>0.17496666666666699</v>
      </c>
      <c r="E16">
        <v>0.19475000000000001</v>
      </c>
      <c r="F16">
        <v>0.18843333333333301</v>
      </c>
      <c r="G16">
        <v>9.3600000000000003E-2</v>
      </c>
      <c r="H16">
        <v>0</v>
      </c>
      <c r="I16">
        <v>0</v>
      </c>
      <c r="J16">
        <v>2.0066666666666701E-3</v>
      </c>
      <c r="K16">
        <v>0</v>
      </c>
      <c r="L16">
        <v>2.3E-3</v>
      </c>
      <c r="M16">
        <v>2.2666666666666699E-3</v>
      </c>
      <c r="N16">
        <v>0</v>
      </c>
      <c r="O16">
        <v>0</v>
      </c>
      <c r="P16">
        <v>1.5866666666666699E-2</v>
      </c>
      <c r="Q16">
        <v>2.2166666666666699E-2</v>
      </c>
      <c r="R16">
        <v>0</v>
      </c>
      <c r="S16">
        <v>0</v>
      </c>
      <c r="T16">
        <v>0</v>
      </c>
      <c r="U16">
        <v>0</v>
      </c>
      <c r="V16">
        <v>3.33333333333333E-4</v>
      </c>
    </row>
    <row r="17" spans="1:22" x14ac:dyDescent="0.3">
      <c r="A17">
        <v>16</v>
      </c>
      <c r="B17" t="s">
        <v>29</v>
      </c>
      <c r="C17">
        <v>4.1459999999999997E-2</v>
      </c>
      <c r="D17">
        <v>8.0869999999999997E-2</v>
      </c>
      <c r="E17">
        <v>0.13413666666666699</v>
      </c>
      <c r="F17">
        <v>6.5466666666666701E-2</v>
      </c>
      <c r="G17">
        <v>3.5466666666666702E-2</v>
      </c>
      <c r="H17">
        <v>1.7733333333333299E-2</v>
      </c>
      <c r="I17">
        <v>4.5666666666666703E-3</v>
      </c>
      <c r="J17">
        <v>8.9099999999999995E-3</v>
      </c>
      <c r="K17">
        <v>3.0540000000000001E-2</v>
      </c>
      <c r="L17">
        <v>2.96666666666667E-3</v>
      </c>
      <c r="M17">
        <v>1.0030000000000001E-2</v>
      </c>
      <c r="N17">
        <v>6.8033333333333296E-3</v>
      </c>
      <c r="O17">
        <v>3.7033333333333302E-3</v>
      </c>
      <c r="P17">
        <v>9.5333333333333294E-3</v>
      </c>
      <c r="Q17">
        <v>2.4666666666666701E-2</v>
      </c>
      <c r="R17">
        <v>5.4633333333333296E-3</v>
      </c>
      <c r="S17">
        <v>0</v>
      </c>
      <c r="T17">
        <v>8.9099999999999995E-3</v>
      </c>
      <c r="U17">
        <v>0</v>
      </c>
      <c r="V17">
        <v>9.33333333333333E-4</v>
      </c>
    </row>
    <row r="18" spans="1:22" x14ac:dyDescent="0.3">
      <c r="A18">
        <v>17</v>
      </c>
      <c r="B18" t="s">
        <v>25</v>
      </c>
      <c r="C18">
        <v>6.7493333333333294E-2</v>
      </c>
      <c r="D18">
        <v>0.10888666666666701</v>
      </c>
      <c r="E18">
        <v>0.118436666666667</v>
      </c>
      <c r="F18">
        <v>0.19146666666666701</v>
      </c>
      <c r="G18">
        <v>5.7966666666666701E-2</v>
      </c>
      <c r="H18">
        <v>8.43E-3</v>
      </c>
      <c r="I18">
        <v>8.2566666666666708E-3</v>
      </c>
      <c r="J18">
        <v>1.8196666666666701E-2</v>
      </c>
      <c r="K18">
        <v>9.2499999999999995E-3</v>
      </c>
      <c r="L18">
        <v>7.9000000000000008E-3</v>
      </c>
      <c r="M18">
        <v>1.2926666666666701E-2</v>
      </c>
      <c r="N18">
        <v>1.0880000000000001E-2</v>
      </c>
      <c r="O18">
        <v>3.7133333333333302E-3</v>
      </c>
      <c r="P18">
        <v>0</v>
      </c>
      <c r="Q18">
        <v>2.96333333333333E-2</v>
      </c>
      <c r="R18">
        <v>1.0366666666666699E-3</v>
      </c>
      <c r="S18">
        <v>9.0666666666666695E-4</v>
      </c>
      <c r="T18">
        <v>4.0333333333333297E-3</v>
      </c>
      <c r="U18">
        <v>0</v>
      </c>
      <c r="V18">
        <v>8.3333333333333295E-4</v>
      </c>
    </row>
    <row r="19" spans="1:22" x14ac:dyDescent="0.3">
      <c r="A19">
        <v>18</v>
      </c>
      <c r="B19" t="s">
        <v>36</v>
      </c>
      <c r="C19">
        <v>5.65366666666667E-2</v>
      </c>
      <c r="D19">
        <v>0.19153999999999999</v>
      </c>
      <c r="E19">
        <v>0.221533333333333</v>
      </c>
      <c r="F19">
        <v>0.19020000000000001</v>
      </c>
      <c r="G19">
        <v>8.0666666666666706E-2</v>
      </c>
      <c r="H19">
        <v>2.5566666666666702E-3</v>
      </c>
      <c r="I19">
        <v>0</v>
      </c>
      <c r="J19">
        <v>0</v>
      </c>
      <c r="K19">
        <v>0</v>
      </c>
      <c r="L19">
        <v>2.0999999999999999E-3</v>
      </c>
      <c r="M19">
        <v>5.5866666666666703E-3</v>
      </c>
      <c r="N19">
        <v>0</v>
      </c>
      <c r="O19">
        <v>0</v>
      </c>
      <c r="P19">
        <v>0</v>
      </c>
      <c r="Q19">
        <v>1.4833333333333301E-2</v>
      </c>
      <c r="R19">
        <v>0</v>
      </c>
      <c r="S19">
        <v>0</v>
      </c>
      <c r="T19">
        <v>1.58666666666667E-3</v>
      </c>
      <c r="U19">
        <v>0</v>
      </c>
      <c r="V19" s="38">
        <v>5.9999999999999995E-4</v>
      </c>
    </row>
    <row r="20" spans="1:22" x14ac:dyDescent="0.3">
      <c r="A20">
        <v>19</v>
      </c>
      <c r="B20" t="s">
        <v>35</v>
      </c>
      <c r="C20">
        <v>0.37050666666666698</v>
      </c>
      <c r="D20">
        <v>0.42635000000000001</v>
      </c>
      <c r="E20">
        <v>0.50176666666666703</v>
      </c>
      <c r="F20">
        <v>0.45486666666666697</v>
      </c>
      <c r="G20">
        <v>0.32146666666666701</v>
      </c>
      <c r="H20">
        <v>1.55666666666667E-3</v>
      </c>
      <c r="I20">
        <v>1.6546666666666699E-2</v>
      </c>
      <c r="J20">
        <v>2.64666666666667E-3</v>
      </c>
      <c r="K20">
        <v>1.8030000000000001E-2</v>
      </c>
      <c r="L20">
        <v>6.4000000000000003E-3</v>
      </c>
      <c r="M20">
        <v>2.9199999999999999E-3</v>
      </c>
      <c r="N20">
        <v>8.8299999999999993E-3</v>
      </c>
      <c r="O20">
        <v>0</v>
      </c>
      <c r="P20">
        <v>7.7333333333333299E-3</v>
      </c>
      <c r="Q20">
        <v>1.7133333333333299E-2</v>
      </c>
      <c r="R20">
        <v>0</v>
      </c>
      <c r="S20">
        <v>0</v>
      </c>
      <c r="T20">
        <v>2.64666666666667E-3</v>
      </c>
      <c r="U20">
        <v>0</v>
      </c>
      <c r="V20" s="38">
        <v>4.0000000000000002E-4</v>
      </c>
    </row>
    <row r="21" spans="1:22" x14ac:dyDescent="0.3">
      <c r="A21">
        <v>20</v>
      </c>
      <c r="B21" t="s">
        <v>48</v>
      </c>
      <c r="C21">
        <v>0.11205333333333301</v>
      </c>
      <c r="D21">
        <v>1.7136666666666699E-2</v>
      </c>
      <c r="E21">
        <v>2.2843333333333299E-2</v>
      </c>
      <c r="F21">
        <v>1.8966666666666701E-2</v>
      </c>
      <c r="G21">
        <v>1.47E-2</v>
      </c>
      <c r="H21">
        <v>5.8799999999999998E-3</v>
      </c>
      <c r="I21">
        <v>0</v>
      </c>
      <c r="J21">
        <v>3.0456666666666701E-2</v>
      </c>
      <c r="K21">
        <v>0</v>
      </c>
      <c r="L21">
        <v>6.4999999999999997E-3</v>
      </c>
      <c r="M21">
        <v>8.4700000000000001E-3</v>
      </c>
      <c r="N21">
        <v>1.05166666666667E-2</v>
      </c>
      <c r="O21">
        <v>3.14666666666667E-3</v>
      </c>
      <c r="P21">
        <v>3.0666666666666698E-3</v>
      </c>
      <c r="Q21">
        <v>1.18333333333333E-2</v>
      </c>
      <c r="R21">
        <v>0</v>
      </c>
      <c r="S21">
        <v>0</v>
      </c>
      <c r="T21">
        <v>1.099E-2</v>
      </c>
      <c r="U21">
        <v>4.1000000000000003E-3</v>
      </c>
      <c r="V21" s="38">
        <v>2.9999999999999997E-4</v>
      </c>
    </row>
    <row r="22" spans="1:22" x14ac:dyDescent="0.3">
      <c r="A22">
        <v>21</v>
      </c>
      <c r="B22" t="s">
        <v>8</v>
      </c>
      <c r="C22">
        <v>0.22399333333333299</v>
      </c>
      <c r="D22">
        <v>0.64697333333333296</v>
      </c>
      <c r="E22">
        <v>0.59696666666666698</v>
      </c>
      <c r="F22">
        <v>0.45133333333333298</v>
      </c>
      <c r="G22">
        <v>0.296366666666667</v>
      </c>
      <c r="H22">
        <v>0</v>
      </c>
      <c r="I22">
        <v>0</v>
      </c>
      <c r="J22">
        <v>4.6633333333333301E-3</v>
      </c>
      <c r="K22">
        <v>2.8733333333333302E-3</v>
      </c>
      <c r="L22">
        <v>2.3999999999999998E-3</v>
      </c>
      <c r="M22">
        <v>1.32833333333333E-2</v>
      </c>
      <c r="N22">
        <v>2.0166666666666701E-2</v>
      </c>
      <c r="O22">
        <v>9.5566666666666699E-3</v>
      </c>
      <c r="P22">
        <v>1.18E-2</v>
      </c>
      <c r="Q22">
        <v>6.3700000000000007E-2</v>
      </c>
      <c r="R22">
        <v>0</v>
      </c>
      <c r="S22">
        <v>0</v>
      </c>
      <c r="T22">
        <v>0</v>
      </c>
      <c r="U22">
        <v>0</v>
      </c>
      <c r="V22" s="38">
        <v>5.0000000000000001E-4</v>
      </c>
    </row>
    <row r="23" spans="1:22" x14ac:dyDescent="0.3">
      <c r="A23">
        <v>22</v>
      </c>
      <c r="B23" t="s">
        <v>10</v>
      </c>
      <c r="C23">
        <v>0.118733333333333</v>
      </c>
      <c r="D23">
        <v>8.4243333333333295E-2</v>
      </c>
      <c r="E23">
        <v>0.134896666666667</v>
      </c>
      <c r="F23">
        <v>0.16013333333333299</v>
      </c>
      <c r="G23">
        <v>7.0533333333333295E-2</v>
      </c>
      <c r="H23">
        <v>9.4599999999999997E-3</v>
      </c>
      <c r="I23">
        <v>1.2783333333333299E-2</v>
      </c>
      <c r="J23">
        <v>2.1800000000000001E-3</v>
      </c>
      <c r="K23">
        <v>1.7219999999999999E-2</v>
      </c>
      <c r="L23">
        <v>1.8E-3</v>
      </c>
      <c r="M23">
        <v>2.819E-2</v>
      </c>
      <c r="N23">
        <v>1.7409999999999998E-2</v>
      </c>
      <c r="O23">
        <v>2.6460000000000001E-2</v>
      </c>
      <c r="P23">
        <v>3.22666666666667E-2</v>
      </c>
      <c r="Q23">
        <v>6.6166666666666707E-2</v>
      </c>
      <c r="R23">
        <v>1.73666666666667E-3</v>
      </c>
      <c r="S23">
        <v>0</v>
      </c>
      <c r="T23">
        <v>2.62333333333333E-3</v>
      </c>
      <c r="U23">
        <v>0</v>
      </c>
      <c r="V23" s="38">
        <v>4.0000000000000002E-4</v>
      </c>
    </row>
    <row r="24" spans="1:22" x14ac:dyDescent="0.3">
      <c r="A24">
        <v>23</v>
      </c>
      <c r="B24" t="s">
        <v>33</v>
      </c>
      <c r="C24">
        <v>0.34561666666666702</v>
      </c>
      <c r="D24">
        <v>0.29397333333333298</v>
      </c>
      <c r="E24">
        <v>0.25965666666666698</v>
      </c>
      <c r="F24">
        <v>0.4032</v>
      </c>
      <c r="G24">
        <v>0.1384</v>
      </c>
      <c r="H24">
        <v>2.0566666666666698E-2</v>
      </c>
      <c r="I24">
        <v>5.7466666666666699E-3</v>
      </c>
      <c r="J24">
        <v>1.336E-2</v>
      </c>
      <c r="K24">
        <v>9.8433333333333307E-3</v>
      </c>
      <c r="L24">
        <v>5.6666666666666697E-3</v>
      </c>
      <c r="M24">
        <v>8.8566666666666707E-3</v>
      </c>
      <c r="N24">
        <v>1.31533333333333E-2</v>
      </c>
      <c r="O24">
        <v>2.4469999999999999E-2</v>
      </c>
      <c r="P24">
        <v>3.46666666666667E-3</v>
      </c>
      <c r="Q24">
        <v>3.1133333333333301E-2</v>
      </c>
      <c r="R24">
        <v>0</v>
      </c>
      <c r="S24">
        <v>6.0600000000000003E-3</v>
      </c>
      <c r="T24">
        <v>0.22467000000000001</v>
      </c>
      <c r="U24">
        <v>0</v>
      </c>
      <c r="V24" s="38">
        <v>2.9999999999999997E-4</v>
      </c>
    </row>
    <row r="25" spans="1:22" x14ac:dyDescent="0.3">
      <c r="A25">
        <v>24</v>
      </c>
      <c r="B25" t="s">
        <v>20</v>
      </c>
      <c r="C25">
        <v>0.12783333333333299</v>
      </c>
      <c r="D25">
        <v>0.19832333333333299</v>
      </c>
      <c r="E25">
        <v>0.20751333333333299</v>
      </c>
      <c r="F25">
        <v>9.4500000000000001E-2</v>
      </c>
      <c r="G25">
        <v>6.1600000000000002E-2</v>
      </c>
      <c r="H25">
        <v>4.3823333333333298E-2</v>
      </c>
      <c r="I25">
        <v>1.5100000000000001E-2</v>
      </c>
      <c r="J25">
        <v>5.06666666666667E-2</v>
      </c>
      <c r="K25">
        <v>1.23466666666667E-2</v>
      </c>
      <c r="L25">
        <v>1.0699999999999999E-2</v>
      </c>
      <c r="M25">
        <v>1.873E-2</v>
      </c>
      <c r="N25">
        <v>3.7826666666666703E-2</v>
      </c>
      <c r="O25">
        <v>1.5553333333333299E-2</v>
      </c>
      <c r="P25">
        <v>0</v>
      </c>
      <c r="Q25">
        <v>4.8599999999999997E-2</v>
      </c>
      <c r="R25">
        <v>4.3400000000000001E-3</v>
      </c>
      <c r="S25">
        <v>4.0400000000000002E-3</v>
      </c>
      <c r="T25">
        <v>2.3189999999999999E-2</v>
      </c>
      <c r="U25">
        <v>0</v>
      </c>
      <c r="V25">
        <v>4.6666666666666699E-4</v>
      </c>
    </row>
    <row r="26" spans="1:22" x14ac:dyDescent="0.3">
      <c r="A26">
        <v>25</v>
      </c>
      <c r="B26" t="s">
        <v>51</v>
      </c>
      <c r="C26">
        <v>0.46448333333333303</v>
      </c>
      <c r="D26">
        <v>0.28813666666666699</v>
      </c>
      <c r="E26">
        <v>0.54388666666666696</v>
      </c>
      <c r="F26">
        <v>0.444033333333333</v>
      </c>
      <c r="G26">
        <v>0.37359999999999999</v>
      </c>
      <c r="H26">
        <v>0</v>
      </c>
      <c r="I26">
        <v>0</v>
      </c>
      <c r="J26">
        <v>2.8999999999999998E-3</v>
      </c>
      <c r="K26">
        <v>0</v>
      </c>
      <c r="L26">
        <v>4.8999999999999998E-3</v>
      </c>
      <c r="M26">
        <v>4.4433333333333304E-3</v>
      </c>
      <c r="N26">
        <v>0.15432000000000001</v>
      </c>
      <c r="O26">
        <v>5.7966666666666696E-3</v>
      </c>
      <c r="P26">
        <v>1.4500000000000001E-2</v>
      </c>
      <c r="Q26">
        <v>1.0233333333333299E-2</v>
      </c>
      <c r="R26">
        <v>0</v>
      </c>
      <c r="S26">
        <v>0.16049333333333299</v>
      </c>
      <c r="T26">
        <v>0</v>
      </c>
      <c r="U26">
        <v>0</v>
      </c>
      <c r="V26">
        <v>3.33333333333333E-4</v>
      </c>
    </row>
    <row r="27" spans="1:22" x14ac:dyDescent="0.3">
      <c r="A27">
        <v>26</v>
      </c>
      <c r="B27" t="s">
        <v>32</v>
      </c>
      <c r="C27">
        <v>0.19539999999999999</v>
      </c>
      <c r="D27">
        <v>0.167346666666667</v>
      </c>
      <c r="E27">
        <v>0.185563333333333</v>
      </c>
      <c r="F27">
        <v>0.29476666666666701</v>
      </c>
      <c r="G27">
        <v>0.11613333333333301</v>
      </c>
      <c r="H27">
        <v>1.50366666666667E-2</v>
      </c>
      <c r="I27">
        <v>6.8033333333333296E-3</v>
      </c>
      <c r="J27">
        <v>7.5033333333333297E-3</v>
      </c>
      <c r="K27">
        <v>1.1463333333333299E-2</v>
      </c>
      <c r="L27">
        <v>4.2666666666666703E-3</v>
      </c>
      <c r="M27">
        <v>7.4799999999999997E-3</v>
      </c>
      <c r="N27">
        <v>3.1733333333333301E-3</v>
      </c>
      <c r="O27">
        <v>0</v>
      </c>
      <c r="P27">
        <v>1.7299999999999999E-2</v>
      </c>
      <c r="Q27">
        <v>1.9699999999999999E-2</v>
      </c>
      <c r="R27">
        <v>0</v>
      </c>
      <c r="S27">
        <v>0</v>
      </c>
      <c r="T27">
        <v>4.3866666666666698E-3</v>
      </c>
      <c r="U27">
        <v>0</v>
      </c>
      <c r="V27">
        <v>1.1999999999999999E-3</v>
      </c>
    </row>
    <row r="28" spans="1:22" x14ac:dyDescent="0.3">
      <c r="A28">
        <v>27</v>
      </c>
      <c r="B28" t="s">
        <v>47</v>
      </c>
      <c r="C28">
        <v>5.4633333333333296E-3</v>
      </c>
      <c r="D28">
        <v>6.8999999999999999E-3</v>
      </c>
      <c r="E28">
        <v>7.7333333333333299E-3</v>
      </c>
      <c r="F28">
        <v>1.47E-2</v>
      </c>
      <c r="G28">
        <v>5.13333333333333E-3</v>
      </c>
      <c r="H28">
        <v>0.11029</v>
      </c>
      <c r="I28">
        <v>0.105503333333333</v>
      </c>
      <c r="J28">
        <v>0.11350666666666701</v>
      </c>
      <c r="K28">
        <v>0.10315000000000001</v>
      </c>
      <c r="L28">
        <v>6.13E-2</v>
      </c>
      <c r="M28">
        <v>4.2733333333333304E-3</v>
      </c>
      <c r="N28">
        <v>0</v>
      </c>
      <c r="O28">
        <v>0</v>
      </c>
      <c r="P28">
        <v>4.8999999999999998E-3</v>
      </c>
      <c r="Q28">
        <v>8.3333333333333297E-3</v>
      </c>
      <c r="R28">
        <v>0</v>
      </c>
      <c r="S28">
        <v>0.26901333333333299</v>
      </c>
      <c r="T28">
        <v>3.9146666666666698E-2</v>
      </c>
      <c r="U28">
        <v>0</v>
      </c>
      <c r="V28" s="38">
        <v>6.9999999999999999E-4</v>
      </c>
    </row>
    <row r="29" spans="1:22" x14ac:dyDescent="0.3">
      <c r="A29">
        <v>28</v>
      </c>
      <c r="B29" t="s">
        <v>24</v>
      </c>
      <c r="C29">
        <v>9.2599999999999991E-3</v>
      </c>
      <c r="D29">
        <v>8.9976666666666705E-2</v>
      </c>
      <c r="E29">
        <v>0.132643333333333</v>
      </c>
      <c r="F29">
        <v>0.12809999999999999</v>
      </c>
      <c r="G29">
        <v>4.7399999999999998E-2</v>
      </c>
      <c r="H29">
        <v>9.2599999999999991E-3</v>
      </c>
      <c r="I29">
        <v>0</v>
      </c>
      <c r="J29">
        <v>2.5676666666666698E-2</v>
      </c>
      <c r="K29">
        <v>0</v>
      </c>
      <c r="L29">
        <v>8.3000000000000001E-3</v>
      </c>
      <c r="M29">
        <v>0</v>
      </c>
      <c r="N29">
        <v>0</v>
      </c>
      <c r="O29">
        <v>9.0100000000000006E-3</v>
      </c>
      <c r="P29">
        <v>0</v>
      </c>
      <c r="Q29">
        <v>2.4066666666666701E-2</v>
      </c>
      <c r="R29">
        <v>0</v>
      </c>
      <c r="S29">
        <v>1.6666666666666701E-2</v>
      </c>
      <c r="T29">
        <v>9.0100000000000006E-3</v>
      </c>
      <c r="U29">
        <v>0</v>
      </c>
      <c r="V29" s="38">
        <v>5.9999999999999995E-4</v>
      </c>
    </row>
    <row r="30" spans="1:22" x14ac:dyDescent="0.3">
      <c r="A30">
        <v>29</v>
      </c>
      <c r="B30" t="s">
        <v>6</v>
      </c>
      <c r="C30">
        <v>0.105003333333333</v>
      </c>
      <c r="D30">
        <v>0.125033333333333</v>
      </c>
      <c r="E30">
        <v>0.35580333333333303</v>
      </c>
      <c r="F30">
        <v>0.196566666666667</v>
      </c>
      <c r="G30">
        <v>8.7166666666666698E-2</v>
      </c>
      <c r="H30">
        <v>0</v>
      </c>
      <c r="I30">
        <v>2.4039999999999999E-2</v>
      </c>
      <c r="J30">
        <v>3.3853333333333298E-2</v>
      </c>
      <c r="K30">
        <v>1.7663333333333298E-2</v>
      </c>
      <c r="L30">
        <v>8.6333333333333297E-3</v>
      </c>
      <c r="M30">
        <v>1.10366666666667E-2</v>
      </c>
      <c r="N30">
        <v>2.9333333333333302E-2</v>
      </c>
      <c r="O30">
        <v>2.5926666666666699E-2</v>
      </c>
      <c r="P30">
        <v>3.6799999999999999E-2</v>
      </c>
      <c r="Q30">
        <v>7.99666666666667E-2</v>
      </c>
      <c r="R30">
        <v>0</v>
      </c>
      <c r="S30">
        <v>0</v>
      </c>
      <c r="T30">
        <v>1.626E-2</v>
      </c>
      <c r="U30">
        <v>0</v>
      </c>
      <c r="V30">
        <v>6.1000000000000004E-3</v>
      </c>
    </row>
    <row r="31" spans="1:22" x14ac:dyDescent="0.3">
      <c r="A31">
        <v>30</v>
      </c>
      <c r="B31" t="s">
        <v>39</v>
      </c>
      <c r="C31">
        <v>2.0289999999999999E-2</v>
      </c>
      <c r="D31">
        <v>1.116E-2</v>
      </c>
      <c r="E31">
        <v>1.24333333333333E-2</v>
      </c>
      <c r="F31">
        <v>4.2299999999999997E-2</v>
      </c>
      <c r="G31">
        <v>1.3133333333333301E-2</v>
      </c>
      <c r="H31">
        <v>2.7200000000000002E-3</v>
      </c>
      <c r="I31">
        <v>9.4666666666666701E-3</v>
      </c>
      <c r="J31">
        <v>1.2073333333333301E-2</v>
      </c>
      <c r="K31">
        <v>0</v>
      </c>
      <c r="L31">
        <v>2.0999999999999999E-3</v>
      </c>
      <c r="M31">
        <v>2.1389999999999999E-2</v>
      </c>
      <c r="N31">
        <v>2.12966666666667E-2</v>
      </c>
      <c r="O31">
        <v>7.5566666666666699E-3</v>
      </c>
      <c r="P31">
        <v>2.77666666666667E-2</v>
      </c>
      <c r="Q31">
        <v>2.8500000000000001E-2</v>
      </c>
      <c r="R31">
        <v>8.4000000000000003E-4</v>
      </c>
      <c r="S31">
        <v>0</v>
      </c>
      <c r="T31">
        <v>5.4200000000000003E-3</v>
      </c>
      <c r="U31">
        <v>0</v>
      </c>
      <c r="V31" s="38">
        <v>2.9999999999999997E-4</v>
      </c>
    </row>
    <row r="32" spans="1:22" x14ac:dyDescent="0.3">
      <c r="A32">
        <v>31</v>
      </c>
      <c r="B32" t="s">
        <v>3</v>
      </c>
      <c r="C32">
        <v>0.13082666666666701</v>
      </c>
      <c r="D32">
        <v>0.21512000000000001</v>
      </c>
      <c r="E32">
        <v>0.24713333333333301</v>
      </c>
      <c r="F32">
        <v>0.22573333333333301</v>
      </c>
      <c r="G32">
        <v>0.12920000000000001</v>
      </c>
      <c r="H32">
        <v>8.1666666666666704E-4</v>
      </c>
      <c r="I32">
        <v>0</v>
      </c>
      <c r="J32">
        <v>0</v>
      </c>
      <c r="K32">
        <v>0</v>
      </c>
      <c r="L32">
        <v>1.4E-3</v>
      </c>
      <c r="M32">
        <v>2.2589999999999999E-2</v>
      </c>
      <c r="N32">
        <v>1.4283333333333301E-2</v>
      </c>
      <c r="O32">
        <v>1.1333333333333299E-2</v>
      </c>
      <c r="P32">
        <v>3.2333333333333297E-2</v>
      </c>
      <c r="Q32">
        <v>9.4100000000000003E-2</v>
      </c>
      <c r="R32">
        <v>1.24333333333333E-3</v>
      </c>
      <c r="S32">
        <v>5.96666666666667E-4</v>
      </c>
      <c r="T32">
        <v>1.1366666666666699E-3</v>
      </c>
      <c r="U32">
        <v>0</v>
      </c>
      <c r="V32" s="38">
        <v>2.9999999999999997E-4</v>
      </c>
    </row>
    <row r="33" spans="1:22" x14ac:dyDescent="0.3">
      <c r="A33">
        <v>32</v>
      </c>
      <c r="B33" t="s">
        <v>49</v>
      </c>
      <c r="C33">
        <v>9.6333333333333306E-3</v>
      </c>
      <c r="D33">
        <v>3.1536666666666699E-2</v>
      </c>
      <c r="E33">
        <v>4.5966666666666697E-2</v>
      </c>
      <c r="F33">
        <v>5.8999999999999997E-2</v>
      </c>
      <c r="G33">
        <v>1.8100000000000002E-2</v>
      </c>
      <c r="H33">
        <v>9.1863333333333297E-2</v>
      </c>
      <c r="I33">
        <v>7.3083333333333306E-2</v>
      </c>
      <c r="J33">
        <v>3.4536666666666702E-2</v>
      </c>
      <c r="K33">
        <v>9.5799999999999996E-2</v>
      </c>
      <c r="L33">
        <v>8.7866666666666704E-2</v>
      </c>
      <c r="M33">
        <v>2.13666666666667E-2</v>
      </c>
      <c r="N33">
        <v>8.5466666666666694E-3</v>
      </c>
      <c r="O33">
        <v>8.4333333333333291E-3</v>
      </c>
      <c r="P33">
        <v>1.3333333333333299E-2</v>
      </c>
      <c r="Q33">
        <v>1.4999999999999999E-2</v>
      </c>
      <c r="R33">
        <v>6.1506666666666703E-2</v>
      </c>
      <c r="S33">
        <v>0</v>
      </c>
      <c r="T33">
        <v>2.1163333333333301E-2</v>
      </c>
      <c r="U33">
        <v>0</v>
      </c>
      <c r="V33">
        <v>6.3333333333333297E-4</v>
      </c>
    </row>
    <row r="34" spans="1:22" x14ac:dyDescent="0.3">
      <c r="A34">
        <v>33</v>
      </c>
      <c r="B34" t="s">
        <v>4</v>
      </c>
      <c r="C34">
        <v>0.18811666666666699</v>
      </c>
      <c r="D34">
        <v>0.214563333333333</v>
      </c>
      <c r="E34">
        <v>0.31485333333333299</v>
      </c>
      <c r="F34">
        <v>0.303433333333333</v>
      </c>
      <c r="G34">
        <v>0.14523333333333299</v>
      </c>
      <c r="H34">
        <v>0</v>
      </c>
      <c r="I34">
        <v>5.5666666666666701E-4</v>
      </c>
      <c r="J34">
        <v>0</v>
      </c>
      <c r="K34">
        <v>7.6099999999999996E-3</v>
      </c>
      <c r="L34">
        <v>2.8999999999999998E-3</v>
      </c>
      <c r="M34">
        <v>8.8533333333333294E-3</v>
      </c>
      <c r="N34">
        <v>1.2789999999999999E-2</v>
      </c>
      <c r="O34">
        <v>9.2966666666666701E-3</v>
      </c>
      <c r="P34">
        <v>3.1033333333333302E-2</v>
      </c>
      <c r="Q34">
        <v>8.48E-2</v>
      </c>
      <c r="R34">
        <v>1.80333333333333E-3</v>
      </c>
      <c r="S34">
        <v>1.0499999999999999E-3</v>
      </c>
      <c r="T34">
        <v>4.8366666666666697E-3</v>
      </c>
      <c r="U34">
        <v>0</v>
      </c>
      <c r="V34">
        <v>4.3333333333333299E-4</v>
      </c>
    </row>
    <row r="35" spans="1:22" x14ac:dyDescent="0.3">
      <c r="A35">
        <v>34</v>
      </c>
      <c r="B35" t="s">
        <v>22</v>
      </c>
      <c r="C35">
        <v>0.15434666666666699</v>
      </c>
      <c r="D35">
        <v>0.36474000000000001</v>
      </c>
      <c r="E35">
        <v>0.39601666666666702</v>
      </c>
      <c r="F35">
        <v>0.36423333333333302</v>
      </c>
      <c r="G35">
        <v>0.214</v>
      </c>
      <c r="H35">
        <v>3.5999999999999999E-3</v>
      </c>
      <c r="I35">
        <v>2.4206666666666699E-2</v>
      </c>
      <c r="J35">
        <v>1.0846666666666701E-2</v>
      </c>
      <c r="K35">
        <v>1.24633333333333E-2</v>
      </c>
      <c r="L35">
        <v>1.1333333333333299E-2</v>
      </c>
      <c r="M35">
        <v>7.1999999999999998E-3</v>
      </c>
      <c r="N35">
        <v>6.5433333333333298E-3</v>
      </c>
      <c r="O35">
        <v>5.9766666666666701E-3</v>
      </c>
      <c r="P35">
        <v>0</v>
      </c>
      <c r="Q35">
        <v>2.8400000000000002E-2</v>
      </c>
      <c r="R35">
        <v>0</v>
      </c>
      <c r="S35">
        <v>3.8766666666666702E-3</v>
      </c>
      <c r="T35">
        <v>5.2900000000000004E-3</v>
      </c>
      <c r="U35">
        <v>0</v>
      </c>
      <c r="V35" s="38">
        <v>5.9999999999999995E-4</v>
      </c>
    </row>
    <row r="36" spans="1:22" x14ac:dyDescent="0.3">
      <c r="A36">
        <v>35</v>
      </c>
      <c r="B36" t="s">
        <v>45</v>
      </c>
      <c r="C36">
        <v>1.29066666666667E-2</v>
      </c>
      <c r="D36">
        <v>3.8766666666666702E-3</v>
      </c>
      <c r="E36">
        <v>3.7266666666666698E-2</v>
      </c>
      <c r="F36">
        <v>5.4666666666666697E-2</v>
      </c>
      <c r="G36">
        <v>2.7799999999999998E-2</v>
      </c>
      <c r="H36">
        <v>6.5073333333333302E-2</v>
      </c>
      <c r="I36">
        <v>0.117253333333333</v>
      </c>
      <c r="J36">
        <v>0.199333333333333</v>
      </c>
      <c r="K36">
        <v>0.22825000000000001</v>
      </c>
      <c r="L36">
        <v>5.1133333333333301E-2</v>
      </c>
      <c r="M36">
        <v>5.6699999999999997E-3</v>
      </c>
      <c r="N36">
        <v>8.3800000000000003E-3</v>
      </c>
      <c r="O36">
        <v>8.5000000000000006E-3</v>
      </c>
      <c r="P36">
        <v>0</v>
      </c>
      <c r="Q36">
        <v>1.49E-2</v>
      </c>
      <c r="R36">
        <v>5.0666666666666698E-4</v>
      </c>
      <c r="S36">
        <v>0</v>
      </c>
      <c r="T36">
        <v>7.2679999999999995E-2</v>
      </c>
      <c r="U36">
        <v>0</v>
      </c>
      <c r="V36">
        <v>5.3333333333333303E-4</v>
      </c>
    </row>
    <row r="37" spans="1:22" x14ac:dyDescent="0.3">
      <c r="A37">
        <v>36</v>
      </c>
      <c r="B37" t="s">
        <v>30</v>
      </c>
      <c r="C37">
        <v>0.11537</v>
      </c>
      <c r="D37">
        <v>0.156873333333333</v>
      </c>
      <c r="E37">
        <v>0.30356666666666698</v>
      </c>
      <c r="F37">
        <v>0.22869999999999999</v>
      </c>
      <c r="G37">
        <v>0.124866666666667</v>
      </c>
      <c r="H37">
        <v>6.2666666666666697E-4</v>
      </c>
      <c r="I37">
        <v>1.73666666666667E-3</v>
      </c>
      <c r="J37">
        <v>8.1666666666666693E-3</v>
      </c>
      <c r="K37">
        <v>0</v>
      </c>
      <c r="L37">
        <v>1.9E-3</v>
      </c>
      <c r="M37">
        <v>6.3966666666666703E-3</v>
      </c>
      <c r="N37">
        <v>3.2133333333333302E-3</v>
      </c>
      <c r="O37">
        <v>3.7866666666666699E-3</v>
      </c>
      <c r="P37">
        <v>9.6333333333333306E-3</v>
      </c>
      <c r="Q37">
        <v>2.2266666666666698E-2</v>
      </c>
      <c r="R37">
        <v>1.25E-3</v>
      </c>
      <c r="S37">
        <v>1.2166666666666699E-3</v>
      </c>
      <c r="T37">
        <v>1.00333333333333E-3</v>
      </c>
      <c r="U37">
        <v>0</v>
      </c>
      <c r="V37" s="38">
        <v>4.0000000000000002E-4</v>
      </c>
    </row>
    <row r="38" spans="1:22" x14ac:dyDescent="0.3">
      <c r="A38">
        <v>37</v>
      </c>
      <c r="B38" t="s">
        <v>28</v>
      </c>
      <c r="C38">
        <v>9.8129999999999995E-2</v>
      </c>
      <c r="D38">
        <v>0.202333333333333</v>
      </c>
      <c r="E38">
        <v>0.17791999999999999</v>
      </c>
      <c r="F38">
        <v>0.30620000000000003</v>
      </c>
      <c r="G38">
        <v>7.4133333333333301E-2</v>
      </c>
      <c r="H38">
        <v>7.4813333333333301E-2</v>
      </c>
      <c r="I38">
        <v>7.9463333333333303E-2</v>
      </c>
      <c r="J38">
        <v>8.2706666666666706E-2</v>
      </c>
      <c r="K38">
        <v>9.5176666666666701E-2</v>
      </c>
      <c r="L38">
        <v>8.3133333333333295E-2</v>
      </c>
      <c r="M38">
        <v>7.79E-3</v>
      </c>
      <c r="N38">
        <v>1.48333333333333E-3</v>
      </c>
      <c r="O38">
        <v>3.1833333333333301E-3</v>
      </c>
      <c r="P38">
        <v>1.06333333333333E-2</v>
      </c>
      <c r="Q38">
        <v>2.20666666666667E-2</v>
      </c>
      <c r="R38">
        <v>7.7666666666666704E-4</v>
      </c>
      <c r="S38">
        <v>0</v>
      </c>
      <c r="T38">
        <v>1.823E-2</v>
      </c>
      <c r="U38">
        <v>0</v>
      </c>
      <c r="V38">
        <v>1.5E-3</v>
      </c>
    </row>
    <row r="39" spans="1:22" x14ac:dyDescent="0.3">
      <c r="A39">
        <v>38</v>
      </c>
      <c r="B39" t="s">
        <v>18</v>
      </c>
      <c r="C39">
        <v>3.3230000000000003E-2</v>
      </c>
      <c r="D39">
        <v>1.58366666666667E-2</v>
      </c>
      <c r="E39">
        <v>7.4196666666666702E-2</v>
      </c>
      <c r="F39">
        <v>9.0200000000000002E-2</v>
      </c>
      <c r="G39">
        <v>1.8833333333333299E-2</v>
      </c>
      <c r="H39">
        <v>5.9300000000000004E-3</v>
      </c>
      <c r="I39">
        <v>6.1733333333333302E-3</v>
      </c>
      <c r="J39">
        <v>2.4976666666666699E-2</v>
      </c>
      <c r="K39">
        <v>3.0246666666666699E-2</v>
      </c>
      <c r="L39">
        <v>1.11666666666667E-2</v>
      </c>
      <c r="M39">
        <v>1.5106666666666701E-2</v>
      </c>
      <c r="N39">
        <v>1.23466666666667E-2</v>
      </c>
      <c r="O39">
        <v>1.9026666666666699E-2</v>
      </c>
      <c r="P39">
        <v>6.4000000000000003E-3</v>
      </c>
      <c r="Q39">
        <v>4.4400000000000002E-2</v>
      </c>
      <c r="R39">
        <v>0</v>
      </c>
      <c r="S39">
        <v>0</v>
      </c>
      <c r="T39">
        <v>1.8440000000000002E-2</v>
      </c>
      <c r="U39">
        <v>0</v>
      </c>
      <c r="V39">
        <v>3.8999999999999998E-3</v>
      </c>
    </row>
    <row r="40" spans="1:22" x14ac:dyDescent="0.3">
      <c r="A40">
        <v>39</v>
      </c>
      <c r="B40" t="s">
        <v>17</v>
      </c>
      <c r="C40">
        <v>0.14815</v>
      </c>
      <c r="D40">
        <v>0.19955666666666699</v>
      </c>
      <c r="E40">
        <v>0.29045666666666697</v>
      </c>
      <c r="F40">
        <v>0.23026666666666701</v>
      </c>
      <c r="G40">
        <v>0.107833333333333</v>
      </c>
      <c r="H40">
        <v>6.5433333333333298E-3</v>
      </c>
      <c r="I40" s="38">
        <v>8.9999999999999998E-4</v>
      </c>
      <c r="J40">
        <v>2.8600000000000001E-3</v>
      </c>
      <c r="K40">
        <v>3.5100000000000001E-3</v>
      </c>
      <c r="L40">
        <v>1.4E-3</v>
      </c>
      <c r="M40">
        <v>3.80666666666667E-3</v>
      </c>
      <c r="N40">
        <v>7.27666666666667E-3</v>
      </c>
      <c r="O40">
        <v>2.0933333333333299E-3</v>
      </c>
      <c r="P40">
        <v>6.6666666666666697E-3</v>
      </c>
      <c r="Q40">
        <v>3.4066666666666703E-2</v>
      </c>
      <c r="R40">
        <v>0</v>
      </c>
      <c r="S40">
        <v>2.8500000000000001E-3</v>
      </c>
      <c r="T40">
        <v>2.32333333333333E-3</v>
      </c>
      <c r="U40">
        <v>0</v>
      </c>
      <c r="V40" s="38">
        <v>2.9999999999999997E-4</v>
      </c>
    </row>
    <row r="41" spans="1:22" x14ac:dyDescent="0.3">
      <c r="A41">
        <v>40</v>
      </c>
      <c r="B41" t="s">
        <v>21</v>
      </c>
      <c r="C41">
        <v>5.3716666666666697E-2</v>
      </c>
      <c r="D41">
        <v>3.977E-2</v>
      </c>
      <c r="E41">
        <v>5.9990000000000002E-2</v>
      </c>
      <c r="F41">
        <v>1.2966666666666699E-2</v>
      </c>
      <c r="G41">
        <v>5.8433333333333302E-2</v>
      </c>
      <c r="H41">
        <v>4.0833333333333303E-3</v>
      </c>
      <c r="I41">
        <v>4.0166666666666701E-3</v>
      </c>
      <c r="J41">
        <v>6.2500000000000003E-3</v>
      </c>
      <c r="K41">
        <v>0</v>
      </c>
      <c r="L41">
        <v>4.3E-3</v>
      </c>
      <c r="M41">
        <v>8.4200000000000004E-3</v>
      </c>
      <c r="N41">
        <v>1.8936666666666699E-2</v>
      </c>
      <c r="O41">
        <v>9.2466666666666704E-3</v>
      </c>
      <c r="P41">
        <v>1.9133333333333301E-2</v>
      </c>
      <c r="Q41">
        <v>3.4366666666666698E-2</v>
      </c>
      <c r="R41">
        <v>0</v>
      </c>
      <c r="S41">
        <v>0</v>
      </c>
      <c r="T41">
        <v>1.4233333333333301E-3</v>
      </c>
      <c r="U41">
        <v>0</v>
      </c>
      <c r="V41" s="38">
        <v>5.9999999999999995E-4</v>
      </c>
    </row>
    <row r="42" spans="1:22" x14ac:dyDescent="0.3">
      <c r="A42">
        <v>41</v>
      </c>
      <c r="B42" t="s">
        <v>38</v>
      </c>
      <c r="C42">
        <v>0.28993666666666701</v>
      </c>
      <c r="D42">
        <v>0.39587666666666699</v>
      </c>
      <c r="E42">
        <v>0.46581</v>
      </c>
      <c r="F42">
        <v>0.49809999999999999</v>
      </c>
      <c r="G42">
        <v>0.269666666666667</v>
      </c>
      <c r="H42">
        <v>0</v>
      </c>
      <c r="I42">
        <v>0</v>
      </c>
      <c r="J42">
        <v>3.2666666666666699E-3</v>
      </c>
      <c r="K42">
        <v>0</v>
      </c>
      <c r="L42">
        <v>3.7000000000000002E-3</v>
      </c>
      <c r="M42">
        <v>0</v>
      </c>
      <c r="N42">
        <v>1.12233333333333E-2</v>
      </c>
      <c r="O42">
        <v>0</v>
      </c>
      <c r="P42">
        <v>2.5000000000000001E-3</v>
      </c>
      <c r="Q42">
        <v>1.5933333333333299E-2</v>
      </c>
      <c r="R42">
        <v>0</v>
      </c>
      <c r="S42">
        <v>0</v>
      </c>
      <c r="T42">
        <v>3.2200000000000002E-3</v>
      </c>
      <c r="U42">
        <v>2.5000000000000001E-3</v>
      </c>
      <c r="V42" s="38">
        <v>5.9999999999999995E-4</v>
      </c>
    </row>
    <row r="43" spans="1:22" x14ac:dyDescent="0.3">
      <c r="A43">
        <v>42</v>
      </c>
      <c r="B43" t="s">
        <v>46</v>
      </c>
      <c r="C43">
        <v>2.0103333333333299E-2</v>
      </c>
      <c r="D43">
        <v>2.0753333333333301E-2</v>
      </c>
      <c r="E43">
        <v>2.34233333333333E-2</v>
      </c>
      <c r="F43">
        <v>3.6266666666666697E-2</v>
      </c>
      <c r="G43">
        <v>1.96666666666667E-2</v>
      </c>
      <c r="H43">
        <v>0.188466666666667</v>
      </c>
      <c r="I43">
        <v>0.144383333333333</v>
      </c>
      <c r="J43">
        <v>0.164376666666667</v>
      </c>
      <c r="K43">
        <v>0.27787000000000001</v>
      </c>
      <c r="L43">
        <v>8.3900000000000002E-2</v>
      </c>
      <c r="M43">
        <v>1.32866666666667E-2</v>
      </c>
      <c r="N43">
        <v>9.2599999999999991E-3</v>
      </c>
      <c r="O43">
        <v>0</v>
      </c>
      <c r="P43">
        <v>4.0466666666666699E-2</v>
      </c>
      <c r="Q43">
        <v>1.44333333333333E-2</v>
      </c>
      <c r="R43">
        <v>0</v>
      </c>
      <c r="S43">
        <v>7.5333333333333303E-3</v>
      </c>
      <c r="T43">
        <v>5.7373333333333297E-2</v>
      </c>
      <c r="U43">
        <v>0</v>
      </c>
      <c r="V43" s="38">
        <v>5.0000000000000001E-4</v>
      </c>
    </row>
    <row r="44" spans="1:22" x14ac:dyDescent="0.3">
      <c r="A44">
        <v>43</v>
      </c>
      <c r="B44" t="s">
        <v>42</v>
      </c>
      <c r="C44">
        <v>0.21478333333333299</v>
      </c>
      <c r="D44">
        <v>0.237506666666667</v>
      </c>
      <c r="E44">
        <v>0.33035666666666702</v>
      </c>
      <c r="F44">
        <v>0.34920000000000001</v>
      </c>
      <c r="G44">
        <v>0.1678</v>
      </c>
      <c r="H44">
        <v>2.4499999999999999E-3</v>
      </c>
      <c r="I44">
        <v>0</v>
      </c>
      <c r="J44">
        <v>2.6033333333333299E-3</v>
      </c>
      <c r="K44">
        <v>0</v>
      </c>
      <c r="L44">
        <v>2.7333333333333298E-3</v>
      </c>
      <c r="M44">
        <v>7.8266666666666693E-3</v>
      </c>
      <c r="N44">
        <v>1.4666666666666699E-2</v>
      </c>
      <c r="O44">
        <v>3.7866666666666699E-3</v>
      </c>
      <c r="P44">
        <v>0</v>
      </c>
      <c r="Q44">
        <v>1.7433333333333301E-2</v>
      </c>
      <c r="R44">
        <v>0</v>
      </c>
      <c r="S44">
        <v>0</v>
      </c>
      <c r="T44">
        <v>0</v>
      </c>
      <c r="U44">
        <v>0</v>
      </c>
      <c r="V44" s="38">
        <v>5.0000000000000001E-4</v>
      </c>
    </row>
    <row r="45" spans="1:22" x14ac:dyDescent="0.3">
      <c r="A45">
        <v>44</v>
      </c>
      <c r="B45" t="s">
        <v>13</v>
      </c>
      <c r="C45">
        <v>0.14551</v>
      </c>
      <c r="D45">
        <v>0.174476666666667</v>
      </c>
      <c r="E45">
        <v>0.33757666666666702</v>
      </c>
      <c r="F45">
        <v>0.252533333333333</v>
      </c>
      <c r="G45">
        <v>0.118333333333333</v>
      </c>
      <c r="H45">
        <v>3.3966666666666698E-3</v>
      </c>
      <c r="I45">
        <v>3.7866666666666699E-3</v>
      </c>
      <c r="J45">
        <v>8.9733333333333297E-3</v>
      </c>
      <c r="K45">
        <v>9.6500000000000006E-3</v>
      </c>
      <c r="L45">
        <v>3.2000000000000002E-3</v>
      </c>
      <c r="M45">
        <v>1.252E-2</v>
      </c>
      <c r="N45">
        <v>1.05566666666667E-2</v>
      </c>
      <c r="O45">
        <v>7.0666666666666699E-3</v>
      </c>
      <c r="P45">
        <v>2.6499999999999999E-2</v>
      </c>
      <c r="Q45">
        <v>4.7166666666666697E-2</v>
      </c>
      <c r="R45">
        <v>1.6366666666666699E-3</v>
      </c>
      <c r="S45" s="38">
        <v>5.0000000000000001E-4</v>
      </c>
      <c r="T45">
        <v>2.2966666666666699E-3</v>
      </c>
      <c r="U45">
        <v>0</v>
      </c>
      <c r="V45" s="38">
        <v>8.0000000000000004E-4</v>
      </c>
    </row>
    <row r="46" spans="1:22" x14ac:dyDescent="0.3">
      <c r="A46">
        <v>45</v>
      </c>
      <c r="B46" t="s">
        <v>31</v>
      </c>
      <c r="C46">
        <v>1.017E-2</v>
      </c>
      <c r="D46">
        <v>2.16233333333333E-2</v>
      </c>
      <c r="E46">
        <v>3.9166666666666697E-2</v>
      </c>
      <c r="F46">
        <v>1.8833333333333299E-2</v>
      </c>
      <c r="G46">
        <v>1.07666666666667E-2</v>
      </c>
      <c r="H46">
        <v>7.6299999999999996E-3</v>
      </c>
      <c r="I46">
        <v>6.0466666666666698E-3</v>
      </c>
      <c r="J46">
        <v>1.02266666666667E-2</v>
      </c>
      <c r="K46">
        <v>8.8199999999999997E-3</v>
      </c>
      <c r="L46">
        <v>9.5333333333333294E-3</v>
      </c>
      <c r="M46">
        <v>6.0633333333333303E-3</v>
      </c>
      <c r="N46">
        <v>9.6699999999999998E-3</v>
      </c>
      <c r="O46">
        <v>3.7866666666666699E-3</v>
      </c>
      <c r="P46">
        <v>6.9333333333333304E-3</v>
      </c>
      <c r="Q46">
        <v>2.3633333333333301E-2</v>
      </c>
      <c r="R46">
        <v>7.4599999999999996E-3</v>
      </c>
      <c r="S46">
        <v>7.2166666666666698E-3</v>
      </c>
      <c r="T46">
        <v>7.27666666666667E-3</v>
      </c>
      <c r="U46">
        <v>3.2333333333333298E-3</v>
      </c>
      <c r="V46">
        <v>9.4000000000000004E-3</v>
      </c>
    </row>
    <row r="47" spans="1:22" x14ac:dyDescent="0.3">
      <c r="A47">
        <v>46</v>
      </c>
      <c r="B47" t="s">
        <v>37</v>
      </c>
      <c r="C47">
        <v>2.1100000000000001E-2</v>
      </c>
      <c r="D47">
        <v>5.1549999999999999E-2</v>
      </c>
      <c r="E47">
        <v>3.2120000000000003E-2</v>
      </c>
      <c r="F47">
        <v>6.9666666666666696E-2</v>
      </c>
      <c r="G47">
        <v>1.21333333333333E-2</v>
      </c>
      <c r="H47">
        <v>9.4733333333333301E-3</v>
      </c>
      <c r="I47">
        <v>3.6633333333333301E-3</v>
      </c>
      <c r="J47">
        <v>3.4366666666666699E-3</v>
      </c>
      <c r="K47">
        <v>7.09333333333333E-3</v>
      </c>
      <c r="L47">
        <v>3.2333333333333298E-3</v>
      </c>
      <c r="M47">
        <v>1.5516666666666699E-2</v>
      </c>
      <c r="N47">
        <v>0</v>
      </c>
      <c r="O47">
        <v>0</v>
      </c>
      <c r="P47">
        <v>0</v>
      </c>
      <c r="Q47">
        <v>1.7633333333333299E-2</v>
      </c>
      <c r="R47">
        <v>2.4433333333333299E-3</v>
      </c>
      <c r="S47">
        <v>0</v>
      </c>
      <c r="T47">
        <v>0</v>
      </c>
      <c r="U47">
        <v>7.1000000000000004E-3</v>
      </c>
      <c r="V47" s="38">
        <v>2.9999999999999997E-4</v>
      </c>
    </row>
    <row r="48" spans="1:22" x14ac:dyDescent="0.3">
      <c r="A48">
        <v>47</v>
      </c>
      <c r="B48" t="s">
        <v>7</v>
      </c>
      <c r="C48">
        <v>0.194376666666667</v>
      </c>
      <c r="D48">
        <v>0.33088000000000001</v>
      </c>
      <c r="E48">
        <v>0.34316333333333299</v>
      </c>
      <c r="F48">
        <v>0.48966666666666703</v>
      </c>
      <c r="G48">
        <v>0.19083333333333299</v>
      </c>
      <c r="H48">
        <v>5.0899999999999999E-3</v>
      </c>
      <c r="I48">
        <v>6.2666666666666704E-3</v>
      </c>
      <c r="J48">
        <v>5.11E-3</v>
      </c>
      <c r="K48">
        <v>0</v>
      </c>
      <c r="L48">
        <v>2.5999999999999999E-3</v>
      </c>
      <c r="M48">
        <v>1.20066666666667E-2</v>
      </c>
      <c r="N48">
        <v>1.1133333333333301E-2</v>
      </c>
      <c r="O48">
        <v>1.601E-2</v>
      </c>
      <c r="P48">
        <v>1.7133333333333299E-2</v>
      </c>
      <c r="Q48">
        <v>6.4733333333333296E-2</v>
      </c>
      <c r="R48">
        <v>0</v>
      </c>
      <c r="S48">
        <v>0</v>
      </c>
      <c r="T48">
        <v>0</v>
      </c>
      <c r="U48">
        <v>3.63333333333333E-3</v>
      </c>
      <c r="V48" s="38">
        <v>6.9999999999999999E-4</v>
      </c>
    </row>
    <row r="49" spans="1:22" x14ac:dyDescent="0.3">
      <c r="A49">
        <v>48</v>
      </c>
      <c r="B49" t="s">
        <v>5</v>
      </c>
      <c r="C49">
        <v>3.5613333333333302E-2</v>
      </c>
      <c r="D49">
        <v>8.35466666666667E-2</v>
      </c>
      <c r="E49">
        <v>0.17470666666666701</v>
      </c>
      <c r="F49">
        <v>0.191766666666667</v>
      </c>
      <c r="G49">
        <v>3.7999999999999999E-2</v>
      </c>
      <c r="H49">
        <v>1.75433333333333E-2</v>
      </c>
      <c r="I49">
        <v>2.7906666666666701E-2</v>
      </c>
      <c r="J49">
        <v>3.022E-2</v>
      </c>
      <c r="K49">
        <v>5.0200000000000002E-2</v>
      </c>
      <c r="L49">
        <v>1.29E-2</v>
      </c>
      <c r="M49">
        <v>1.8256666666666699E-2</v>
      </c>
      <c r="N49">
        <v>2.2363333333333301E-2</v>
      </c>
      <c r="O49">
        <v>1.8956666666666701E-2</v>
      </c>
      <c r="P49">
        <v>3.4166666666666699E-2</v>
      </c>
      <c r="Q49">
        <v>8.5300000000000001E-2</v>
      </c>
      <c r="R49">
        <v>0</v>
      </c>
      <c r="S49">
        <v>8.8533333333333294E-3</v>
      </c>
      <c r="T49">
        <v>1.06933333333333E-2</v>
      </c>
      <c r="U49">
        <v>9.9333333333333305E-3</v>
      </c>
      <c r="V49">
        <v>6.7333333333333299E-3</v>
      </c>
    </row>
    <row r="50" spans="1:22" x14ac:dyDescent="0.3">
      <c r="A50">
        <v>49</v>
      </c>
      <c r="B50" t="s">
        <v>44</v>
      </c>
      <c r="C50">
        <v>4.9386666666666697E-2</v>
      </c>
      <c r="D50">
        <v>0.10356333333333299</v>
      </c>
      <c r="E50">
        <v>0.13494</v>
      </c>
      <c r="F50">
        <v>0.10050000000000001</v>
      </c>
      <c r="G50">
        <v>3.4700000000000002E-2</v>
      </c>
      <c r="H50">
        <v>1.306E-2</v>
      </c>
      <c r="I50">
        <v>1.8069999999999999E-2</v>
      </c>
      <c r="J50">
        <v>2.1559999999999999E-2</v>
      </c>
      <c r="K50">
        <v>0</v>
      </c>
      <c r="L50">
        <v>2.0999999999999999E-3</v>
      </c>
      <c r="M50">
        <v>0</v>
      </c>
      <c r="N50">
        <v>0</v>
      </c>
      <c r="O50">
        <v>0</v>
      </c>
      <c r="P50">
        <v>0</v>
      </c>
      <c r="Q50">
        <v>8.2000000000000007E-3</v>
      </c>
      <c r="R50">
        <v>0</v>
      </c>
      <c r="S50">
        <v>0</v>
      </c>
      <c r="T50">
        <v>6.4099999999999999E-3</v>
      </c>
      <c r="U50">
        <v>0</v>
      </c>
      <c r="V50" s="38">
        <v>2.0000000000000001E-4</v>
      </c>
    </row>
    <row r="51" spans="1:22" x14ac:dyDescent="0.3">
      <c r="A51">
        <v>50</v>
      </c>
      <c r="B51" t="s">
        <v>34</v>
      </c>
      <c r="C51">
        <v>0.1268</v>
      </c>
      <c r="D51">
        <v>0.26042999999999999</v>
      </c>
      <c r="E51">
        <v>0.20629</v>
      </c>
      <c r="F51">
        <v>0.25073333333333298</v>
      </c>
      <c r="G51">
        <v>6.3600000000000004E-2</v>
      </c>
      <c r="H51">
        <v>1.1950000000000001E-2</v>
      </c>
      <c r="I51">
        <v>1.23566666666667E-2</v>
      </c>
      <c r="J51">
        <v>1.07133333333333E-2</v>
      </c>
      <c r="K51">
        <v>1.3813333333333301E-2</v>
      </c>
      <c r="L51">
        <v>8.8333333333333302E-3</v>
      </c>
      <c r="M51">
        <v>2.3546666666666698E-2</v>
      </c>
      <c r="N51">
        <v>4.8666666666666702E-3</v>
      </c>
      <c r="O51">
        <v>1.40966666666667E-2</v>
      </c>
      <c r="P51">
        <v>3.5333333333333302E-3</v>
      </c>
      <c r="Q51">
        <v>2.82666666666667E-2</v>
      </c>
      <c r="R51">
        <v>1.9599999999999999E-3</v>
      </c>
      <c r="S51">
        <v>0.182716666666667</v>
      </c>
      <c r="T51">
        <v>2.8999999999999998E-3</v>
      </c>
      <c r="U51">
        <v>3.46666666666667E-3</v>
      </c>
      <c r="V51">
        <v>3.66666666666667E-4</v>
      </c>
    </row>
    <row r="52" spans="1:22" x14ac:dyDescent="0.3">
      <c r="A52">
        <v>51</v>
      </c>
      <c r="B52" t="s">
        <v>50</v>
      </c>
      <c r="C52">
        <v>3.7866666666666699E-3</v>
      </c>
      <c r="D52">
        <v>6.0846666666666702E-2</v>
      </c>
      <c r="E52">
        <v>8.5466666666666694E-3</v>
      </c>
      <c r="F52">
        <v>2.77666666666667E-2</v>
      </c>
      <c r="G52">
        <v>1.12E-2</v>
      </c>
      <c r="H52">
        <v>6.1433333333333298E-2</v>
      </c>
      <c r="I52">
        <v>6.0846666666666702E-2</v>
      </c>
      <c r="J52">
        <v>8.5866666666666702E-2</v>
      </c>
      <c r="K52">
        <v>2.7776666666666699E-2</v>
      </c>
      <c r="L52">
        <v>2.1100000000000001E-2</v>
      </c>
      <c r="M52">
        <v>1.073E-2</v>
      </c>
      <c r="N52">
        <v>0</v>
      </c>
      <c r="O52">
        <v>2.0893333333333299E-2</v>
      </c>
      <c r="P52">
        <v>1.8533333333333301E-2</v>
      </c>
      <c r="Q52">
        <v>9.2333333333333295E-3</v>
      </c>
      <c r="R52">
        <v>3.7866666666666699E-3</v>
      </c>
      <c r="S52">
        <v>0</v>
      </c>
      <c r="T52">
        <v>2.469E-2</v>
      </c>
      <c r="U52">
        <v>0</v>
      </c>
      <c r="V52" s="38">
        <v>6.9999999999999999E-4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aggregated averages</vt:lpstr>
      <vt:lpstr>analytics</vt:lpstr>
      <vt:lpstr>raw averages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Brian Maxwell</cp:lastModifiedBy>
  <dcterms:created xsi:type="dcterms:W3CDTF">2019-07-20T03:25:48Z</dcterms:created>
  <dcterms:modified xsi:type="dcterms:W3CDTF">2019-07-20T23:33:34Z</dcterms:modified>
</cp:coreProperties>
</file>